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4" windowHeight="9805" activeTab="2"/>
  </bookViews>
  <sheets>
    <sheet name="5.2.2标注性能" sheetId="2" r:id="rId1"/>
    <sheet name="5.3 价值观评估器性能分析" sheetId="8" r:id="rId2"/>
    <sheet name="5.4 价值观对齐程度可视化" sheetId="4" r:id="rId3"/>
    <sheet name="5.5 消融实验" sheetId="5" r:id="rId4"/>
    <sheet name="sheet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<sst xmlns="http://schemas.openxmlformats.org/spreadsheetml/2006/main" count="531" uniqueCount="76">
  <si>
    <t>llama-f1-折线图</t>
  </si>
  <si>
    <t>富强</t>
  </si>
  <si>
    <t>民主</t>
  </si>
  <si>
    <t>文明</t>
  </si>
  <si>
    <t>和谐</t>
  </si>
  <si>
    <t>自由</t>
  </si>
  <si>
    <t>平等</t>
  </si>
  <si>
    <t>公正</t>
  </si>
  <si>
    <t>法治</t>
  </si>
  <si>
    <t>爱国</t>
  </si>
  <si>
    <t>敬业</t>
  </si>
  <si>
    <t>诚信</t>
  </si>
  <si>
    <t>友善</t>
  </si>
  <si>
    <t>单个deepseek</t>
  </si>
  <si>
    <t>单个gpt</t>
  </si>
  <si>
    <t>human</t>
  </si>
  <si>
    <t>cvalue</t>
  </si>
  <si>
    <t>triple</t>
  </si>
  <si>
    <t>qwen</t>
  </si>
  <si>
    <t>qwen-0.7</t>
  </si>
  <si>
    <t>层面</t>
  </si>
  <si>
    <t>维度</t>
  </si>
  <si>
    <t>Single LLM</t>
  </si>
  <si>
    <t>Triple LLMs</t>
  </si>
  <si>
    <t>Cvalue
Annotator</t>
  </si>
  <si>
    <t>人工基准</t>
  </si>
  <si>
    <t>deepseek</t>
  </si>
  <si>
    <t>gpt4-o</t>
  </si>
  <si>
    <t>ACC.</t>
  </si>
  <si>
    <t>F1</t>
  </si>
  <si>
    <t>国家</t>
  </si>
  <si>
    <t>平均</t>
  </si>
  <si>
    <t>社会</t>
  </si>
  <si>
    <t>个人</t>
  </si>
  <si>
    <t>overall</t>
  </si>
  <si>
    <t>llama</t>
  </si>
  <si>
    <t>llama-0.7</t>
  </si>
  <si>
    <t>Deepseek-r1</t>
  </si>
  <si>
    <t>qwen2.5-72b-instruct</t>
  </si>
  <si>
    <t>glm4</t>
  </si>
  <si>
    <t>claude-3-opus</t>
  </si>
  <si>
    <t>gpt4</t>
  </si>
  <si>
    <t>llama3.1-8b</t>
  </si>
  <si>
    <t>DeepSeek-R1-Distill-Llama-8B</t>
  </si>
  <si>
    <t>llama3.1-70b</t>
  </si>
  <si>
    <t>数据标注规模对评估器性能的影响-f1折线图-qwen</t>
  </si>
  <si>
    <t>模型规模大小对评估器性能的影响</t>
  </si>
  <si>
    <t>损失函数选择对评估器性能的影响</t>
  </si>
  <si>
    <t>Llama-3.2-1B</t>
  </si>
  <si>
    <t>Llama-3.2-3B</t>
  </si>
  <si>
    <t>Cvalue 
Annotator</t>
  </si>
  <si>
    <t>org</t>
  </si>
  <si>
    <t>asy</t>
  </si>
  <si>
    <t>模型选择对标注性能的影响200条和人的200条算f1</t>
  </si>
  <si>
    <t>单个gpt4o</t>
  </si>
  <si>
    <t>单个gpt4</t>
  </si>
  <si>
    <t>deepseek+gpt4（交叉）</t>
  </si>
  <si>
    <t>deepseek+gpt4o</t>
  </si>
  <si>
    <t>方差</t>
  </si>
  <si>
    <t>ac</t>
  </si>
  <si>
    <t>f1</t>
  </si>
  <si>
    <t>pre</t>
  </si>
  <si>
    <t>recall</t>
  </si>
  <si>
    <t>qwen(renji)-human</t>
  </si>
  <si>
    <t>qwen(renji)-llm</t>
  </si>
  <si>
    <t>qwen(deepseek)-human</t>
  </si>
  <si>
    <t>qwen(deepseek)-llm</t>
  </si>
  <si>
    <t>qwen(gpt4o)-human</t>
  </si>
  <si>
    <t>qwen(gpt4o)-llm</t>
  </si>
  <si>
    <t>llama(huamam)-human</t>
  </si>
  <si>
    <t>llama(deepseek)-human</t>
  </si>
  <si>
    <t>llama(gpt4o)-human</t>
  </si>
  <si>
    <t>llama(gpt4o)-llm</t>
  </si>
  <si>
    <t>llama(renji)-human</t>
  </si>
  <si>
    <t>llama(renji)-llm</t>
  </si>
  <si>
    <t>llama(triple)-human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</si>
</sst>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00_ "/>
    <numFmt numFmtId="179" formatCode="0.0000_ "/>
  </numFmts>
  <fonts count="35">
    <font>
      <sz val="11"/>
      <color theme="1"/>
      <name val="宋体"/>
      <charset val="134"/>
      <scheme val="minor"/>
    </font>
    <font>
      <sz val="10.5"/>
      <color rgb="FFB5CEA8"/>
      <name val="Consolas"/>
      <charset val="134"/>
    </font>
    <font>
      <sz val="11"/>
      <name val="宋体"/>
      <charset val="134"/>
      <scheme val="maj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1"/>
      <name val="宋体"/>
      <charset val="134"/>
    </font>
    <font>
      <sz val="10.5"/>
      <color rgb="FF9C5D27"/>
      <name val="Consolas"/>
      <charset val="134"/>
    </font>
    <font>
      <b/>
      <sz val="11"/>
      <name val="宋体"/>
      <charset val="134"/>
    </font>
    <font>
      <sz val="10.5"/>
      <color theme="1"/>
      <name val="宋体"/>
      <charset val="134"/>
    </font>
    <font>
      <b/>
      <sz val="10.5"/>
      <color theme="1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sz val="12"/>
      <color theme="1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2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23" applyNumberFormat="0" applyAlignment="0" applyProtection="0">
      <alignment vertical="center"/>
    </xf>
    <xf numFmtId="0" fontId="25" fillId="4" borderId="24" applyNumberFormat="0" applyAlignment="0" applyProtection="0">
      <alignment vertical="center"/>
    </xf>
    <xf numFmtId="0" fontId="26" fillId="4" borderId="23" applyNumberFormat="0" applyAlignment="0" applyProtection="0">
      <alignment vertical="center"/>
    </xf>
    <xf numFmtId="0" fontId="27" fillId="5" borderId="25" applyNumberFormat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7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3" fontId="0" fillId="0" borderId="1" xfId="3" applyNumberFormat="1" applyBorder="1" applyAlignment="1">
      <alignment horizontal="center" vertical="center"/>
    </xf>
    <xf numFmtId="43" fontId="0" fillId="0" borderId="2" xfId="3" applyNumberFormat="1" applyBorder="1" applyAlignment="1">
      <alignment horizontal="center" vertical="center" wrapText="1"/>
    </xf>
    <xf numFmtId="43" fontId="0" fillId="0" borderId="2" xfId="3" applyNumberFormat="1" applyBorder="1" applyAlignment="1">
      <alignment horizontal="center" vertical="center"/>
    </xf>
    <xf numFmtId="43" fontId="0" fillId="0" borderId="0" xfId="3" applyNumberFormat="1" applyBorder="1" applyAlignment="1">
      <alignment horizontal="center" vertical="center"/>
    </xf>
    <xf numFmtId="43" fontId="0" fillId="0" borderId="3" xfId="3" applyNumberFormat="1" applyBorder="1" applyAlignment="1">
      <alignment horizontal="center" vertical="center"/>
    </xf>
    <xf numFmtId="43" fontId="0" fillId="0" borderId="4" xfId="3" applyNumberForma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5" xfId="3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6" xfId="3" applyNumberFormat="1" applyBorder="1" applyAlignment="1">
      <alignment horizontal="center" vertical="center"/>
    </xf>
    <xf numFmtId="43" fontId="0" fillId="0" borderId="7" xfId="3" applyNumberFormat="1" applyBorder="1" applyAlignment="1">
      <alignment horizontal="center" vertical="center"/>
    </xf>
    <xf numFmtId="43" fontId="0" fillId="0" borderId="8" xfId="3" applyNumberFormat="1" applyBorder="1" applyAlignment="1">
      <alignment horizontal="center" vertical="center"/>
    </xf>
    <xf numFmtId="43" fontId="0" fillId="0" borderId="9" xfId="3" applyNumberFormat="1" applyBorder="1" applyAlignment="1">
      <alignment horizontal="center" vertical="center"/>
    </xf>
    <xf numFmtId="43" fontId="0" fillId="0" borderId="10" xfId="3" applyNumberFormat="1" applyBorder="1" applyAlignment="1">
      <alignment horizontal="center" vertical="center"/>
    </xf>
    <xf numFmtId="177" fontId="2" fillId="0" borderId="0" xfId="3" applyNumberFormat="1" applyFont="1" applyAlignment="1">
      <alignment horizontal="center" vertical="center"/>
    </xf>
    <xf numFmtId="177" fontId="2" fillId="0" borderId="0" xfId="3" applyNumberFormat="1" applyFont="1" applyAlignment="1">
      <alignment horizontal="center" vertical="center" wrapText="1"/>
    </xf>
    <xf numFmtId="177" fontId="2" fillId="0" borderId="3" xfId="3" applyNumberFormat="1" applyFont="1" applyBorder="1" applyAlignment="1">
      <alignment horizontal="center" vertical="center"/>
    </xf>
    <xf numFmtId="177" fontId="2" fillId="0" borderId="2" xfId="3" applyNumberFormat="1" applyFont="1" applyBorder="1" applyAlignment="1">
      <alignment horizontal="center" vertical="center"/>
    </xf>
    <xf numFmtId="177" fontId="2" fillId="0" borderId="4" xfId="3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/>
    </xf>
    <xf numFmtId="43" fontId="3" fillId="0" borderId="4" xfId="3" applyNumberFormat="1" applyFont="1" applyBorder="1" applyAlignment="1">
      <alignment horizontal="right" vertical="center"/>
    </xf>
    <xf numFmtId="43" fontId="3" fillId="0" borderId="9" xfId="3" applyNumberFormat="1" applyFont="1" applyBorder="1" applyAlignment="1">
      <alignment horizontal="right" vertical="center"/>
    </xf>
    <xf numFmtId="176" fontId="3" fillId="0" borderId="0" xfId="3" applyNumberFormat="1" applyFont="1" applyBorder="1" applyAlignment="1">
      <alignment horizontal="right" vertical="center"/>
    </xf>
    <xf numFmtId="176" fontId="3" fillId="0" borderId="10" xfId="3" applyNumberFormat="1" applyFont="1" applyBorder="1" applyAlignment="1">
      <alignment horizontal="right" vertical="center"/>
    </xf>
    <xf numFmtId="176" fontId="3" fillId="0" borderId="3" xfId="3" applyNumberFormat="1" applyFont="1" applyBorder="1" applyAlignment="1">
      <alignment horizontal="right" vertical="center"/>
    </xf>
    <xf numFmtId="176" fontId="3" fillId="0" borderId="8" xfId="3" applyNumberFormat="1" applyFont="1" applyBorder="1" applyAlignment="1">
      <alignment horizontal="right" vertical="center"/>
    </xf>
    <xf numFmtId="176" fontId="4" fillId="0" borderId="3" xfId="3" applyNumberFormat="1" applyFont="1" applyBorder="1" applyAlignment="1">
      <alignment horizontal="right" vertical="center"/>
    </xf>
    <xf numFmtId="176" fontId="4" fillId="0" borderId="4" xfId="3" applyNumberFormat="1" applyFont="1" applyBorder="1" applyAlignment="1">
      <alignment horizontal="right" vertical="center"/>
    </xf>
    <xf numFmtId="176" fontId="3" fillId="0" borderId="4" xfId="3" applyNumberFormat="1" applyFont="1" applyBorder="1" applyAlignment="1">
      <alignment horizontal="right" vertical="center"/>
    </xf>
    <xf numFmtId="176" fontId="0" fillId="0" borderId="0" xfId="3" applyNumberFormat="1" applyBorder="1" applyAlignment="1">
      <alignment horizontal="center" vertical="center"/>
    </xf>
    <xf numFmtId="176" fontId="3" fillId="0" borderId="0" xfId="3" applyNumberFormat="1" applyFont="1" applyBorder="1" applyAlignment="1">
      <alignment horizontal="center" vertical="center"/>
    </xf>
    <xf numFmtId="176" fontId="3" fillId="0" borderId="10" xfId="3" applyNumberFormat="1" applyFont="1" applyBorder="1" applyAlignment="1">
      <alignment horizontal="center" vertical="center"/>
    </xf>
    <xf numFmtId="176" fontId="0" fillId="0" borderId="3" xfId="3" applyNumberFormat="1" applyBorder="1" applyAlignment="1">
      <alignment horizontal="center" vertical="center"/>
    </xf>
    <xf numFmtId="176" fontId="3" fillId="0" borderId="3" xfId="3" applyNumberFormat="1" applyFont="1" applyBorder="1" applyAlignment="1">
      <alignment horizontal="center" vertical="center"/>
    </xf>
    <xf numFmtId="176" fontId="3" fillId="0" borderId="8" xfId="3" applyNumberFormat="1" applyFont="1" applyBorder="1" applyAlignment="1">
      <alignment horizontal="center" vertical="center"/>
    </xf>
    <xf numFmtId="176" fontId="5" fillId="0" borderId="3" xfId="3" applyNumberFormat="1" applyFont="1" applyBorder="1" applyAlignment="1">
      <alignment horizontal="center" vertical="center"/>
    </xf>
    <xf numFmtId="176" fontId="4" fillId="0" borderId="3" xfId="3" applyNumberFormat="1" applyFont="1" applyBorder="1" applyAlignment="1">
      <alignment horizontal="center" vertical="center"/>
    </xf>
    <xf numFmtId="176" fontId="5" fillId="0" borderId="4" xfId="3" applyNumberFormat="1" applyFont="1" applyBorder="1" applyAlignment="1">
      <alignment horizontal="center" vertical="center"/>
    </xf>
    <xf numFmtId="176" fontId="0" fillId="0" borderId="4" xfId="3" applyNumberFormat="1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/>
    </xf>
    <xf numFmtId="10" fontId="0" fillId="0" borderId="0" xfId="3" applyNumberForma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43" fontId="0" fillId="0" borderId="11" xfId="3" applyNumberForma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76" fontId="7" fillId="0" borderId="10" xfId="3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3" fontId="5" fillId="0" borderId="0" xfId="3" applyNumberFormat="1" applyFont="1" applyBorder="1" applyAlignment="1">
      <alignment horizontal="center" vertical="center" wrapText="1"/>
    </xf>
    <xf numFmtId="43" fontId="5" fillId="0" borderId="3" xfId="3" applyNumberFormat="1" applyFont="1" applyBorder="1" applyAlignment="1">
      <alignment horizontal="center" vertical="center" wrapText="1"/>
    </xf>
    <xf numFmtId="43" fontId="5" fillId="0" borderId="1" xfId="3" applyNumberFormat="1" applyFont="1" applyBorder="1" applyAlignment="1">
      <alignment horizontal="center" vertical="center"/>
    </xf>
    <xf numFmtId="43" fontId="5" fillId="0" borderId="2" xfId="3" applyNumberFormat="1" applyFont="1" applyBorder="1" applyAlignment="1">
      <alignment horizontal="center" vertical="center" wrapText="1"/>
    </xf>
    <xf numFmtId="43" fontId="5" fillId="0" borderId="4" xfId="3" applyNumberFormat="1" applyFont="1" applyBorder="1" applyAlignment="1">
      <alignment vertical="center" wrapText="1"/>
    </xf>
    <xf numFmtId="43" fontId="0" fillId="0" borderId="4" xfId="3" applyNumberFormat="1" applyFont="1" applyBorder="1" applyAlignment="1">
      <alignment horizontal="center" vertical="center" wrapText="1"/>
    </xf>
    <xf numFmtId="43" fontId="5" fillId="0" borderId="0" xfId="3" applyNumberFormat="1" applyFont="1" applyBorder="1" applyAlignment="1">
      <alignment horizontal="center" vertical="center"/>
    </xf>
    <xf numFmtId="177" fontId="0" fillId="0" borderId="0" xfId="3" applyNumberFormat="1" applyFont="1" applyBorder="1" applyAlignment="1">
      <alignment horizontal="center" vertical="center"/>
    </xf>
    <xf numFmtId="177" fontId="0" fillId="0" borderId="10" xfId="3" applyNumberFormat="1" applyFont="1" applyBorder="1" applyAlignment="1">
      <alignment horizontal="center" vertical="center"/>
    </xf>
    <xf numFmtId="43" fontId="5" fillId="0" borderId="4" xfId="3" applyNumberFormat="1" applyFont="1" applyBorder="1" applyAlignment="1">
      <alignment horizontal="center" vertical="center"/>
    </xf>
    <xf numFmtId="177" fontId="0" fillId="0" borderId="3" xfId="3" applyNumberFormat="1" applyFont="1" applyBorder="1" applyAlignment="1">
      <alignment horizontal="center" vertical="center"/>
    </xf>
    <xf numFmtId="177" fontId="0" fillId="0" borderId="8" xfId="3" applyNumberFormat="1" applyFont="1" applyBorder="1" applyAlignment="1">
      <alignment horizontal="center" vertical="center"/>
    </xf>
    <xf numFmtId="177" fontId="0" fillId="0" borderId="5" xfId="3" applyNumberFormat="1" applyFont="1" applyBorder="1" applyAlignment="1">
      <alignment horizontal="center" vertical="center"/>
    </xf>
    <xf numFmtId="177" fontId="0" fillId="0" borderId="14" xfId="3" applyNumberFormat="1" applyFont="1" applyBorder="1" applyAlignment="1">
      <alignment horizontal="center" vertical="center"/>
    </xf>
    <xf numFmtId="177" fontId="5" fillId="0" borderId="5" xfId="3" applyNumberFormat="1" applyFont="1" applyBorder="1" applyAlignment="1">
      <alignment horizontal="center" vertical="center"/>
    </xf>
    <xf numFmtId="177" fontId="0" fillId="0" borderId="15" xfId="3" applyNumberFormat="1" applyFont="1" applyBorder="1" applyAlignment="1">
      <alignment horizontal="center" vertical="center"/>
    </xf>
    <xf numFmtId="177" fontId="5" fillId="0" borderId="16" xfId="3" applyNumberFormat="1" applyFont="1" applyBorder="1" applyAlignment="1">
      <alignment horizontal="center" vertical="center"/>
    </xf>
    <xf numFmtId="177" fontId="5" fillId="0" borderId="15" xfId="3" applyNumberFormat="1" applyFont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0" fillId="0" borderId="6" xfId="0" applyNumberFormat="1" applyFont="1" applyBorder="1" applyAlignment="1">
      <alignment horizontal="center" vertical="center"/>
    </xf>
    <xf numFmtId="177" fontId="0" fillId="0" borderId="17" xfId="0" applyNumberFormat="1" applyFont="1" applyBorder="1" applyAlignment="1">
      <alignment horizontal="center" vertical="center"/>
    </xf>
    <xf numFmtId="177" fontId="5" fillId="0" borderId="6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43" fontId="5" fillId="0" borderId="18" xfId="3" applyNumberFormat="1" applyFont="1" applyBorder="1" applyAlignment="1">
      <alignment horizontal="center" vertical="center" wrapText="1"/>
    </xf>
    <xf numFmtId="43" fontId="5" fillId="0" borderId="18" xfId="3" applyNumberFormat="1" applyFont="1" applyBorder="1" applyAlignment="1">
      <alignment vertical="center" wrapText="1"/>
    </xf>
    <xf numFmtId="0" fontId="5" fillId="0" borderId="18" xfId="0" applyFont="1" applyBorder="1" applyAlignment="1">
      <alignment vertical="center"/>
    </xf>
    <xf numFmtId="0" fontId="5" fillId="0" borderId="18" xfId="0" applyFont="1" applyBorder="1">
      <alignment vertical="center"/>
    </xf>
    <xf numFmtId="0" fontId="0" fillId="0" borderId="0" xfId="0" applyAlignment="1">
      <alignment vertical="center"/>
    </xf>
    <xf numFmtId="43" fontId="0" fillId="0" borderId="5" xfId="3" applyNumberFormat="1" applyBorder="1" applyAlignment="1">
      <alignment horizontal="center" vertical="center"/>
    </xf>
    <xf numFmtId="176" fontId="0" fillId="0" borderId="5" xfId="3" applyNumberFormat="1" applyFont="1" applyBorder="1" applyAlignment="1">
      <alignment horizontal="center" vertical="center"/>
    </xf>
    <xf numFmtId="0" fontId="0" fillId="0" borderId="10" xfId="0" applyBorder="1">
      <alignment vertical="center"/>
    </xf>
    <xf numFmtId="43" fontId="5" fillId="0" borderId="2" xfId="3" applyNumberFormat="1" applyFont="1" applyBorder="1" applyAlignment="1">
      <alignment horizontal="center" vertical="center"/>
    </xf>
    <xf numFmtId="43" fontId="5" fillId="0" borderId="7" xfId="3" applyNumberFormat="1" applyFon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177" fontId="0" fillId="0" borderId="4" xfId="3" applyNumberFormat="1" applyFont="1" applyBorder="1" applyAlignment="1">
      <alignment horizontal="center" vertical="center"/>
    </xf>
    <xf numFmtId="177" fontId="0" fillId="0" borderId="9" xfId="3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7" fillId="0" borderId="0" xfId="3" applyNumberFormat="1" applyFont="1" applyBorder="1" applyAlignment="1">
      <alignment horizontal="center" vertical="center"/>
    </xf>
    <xf numFmtId="176" fontId="7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176" fontId="9" fillId="0" borderId="0" xfId="3" applyNumberFormat="1" applyFont="1" applyBorder="1" applyAlignment="1">
      <alignment horizontal="center" vertical="center"/>
    </xf>
    <xf numFmtId="177" fontId="5" fillId="0" borderId="0" xfId="3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Font="1" applyBorder="1">
      <alignment vertical="center"/>
    </xf>
    <xf numFmtId="0" fontId="10" fillId="0" borderId="0" xfId="0" applyFont="1" applyBorder="1" applyAlignment="1">
      <alignment horizontal="justify" vertical="center"/>
    </xf>
    <xf numFmtId="179" fontId="0" fillId="0" borderId="11" xfId="0" applyNumberFormat="1" applyBorder="1">
      <alignment vertical="center"/>
    </xf>
    <xf numFmtId="179" fontId="11" fillId="0" borderId="11" xfId="0" applyNumberFormat="1" applyFont="1" applyBorder="1" applyAlignment="1">
      <alignment horizontal="justify" vertical="center"/>
    </xf>
    <xf numFmtId="0" fontId="0" fillId="0" borderId="0" xfId="0" applyFont="1" applyBorder="1">
      <alignment vertical="center"/>
    </xf>
    <xf numFmtId="0" fontId="0" fillId="0" borderId="0" xfId="0" applyBorder="1" applyAlignment="1">
      <alignment vertical="center"/>
    </xf>
    <xf numFmtId="176" fontId="3" fillId="0" borderId="0" xfId="0" applyNumberFormat="1" applyFont="1" applyBorder="1" applyAlignment="1">
      <alignment horizontal="center" vertical="center"/>
    </xf>
    <xf numFmtId="176" fontId="3" fillId="0" borderId="5" xfId="3" applyNumberFormat="1" applyFont="1" applyBorder="1" applyAlignment="1">
      <alignment horizontal="center" vertical="center"/>
    </xf>
    <xf numFmtId="176" fontId="4" fillId="0" borderId="5" xfId="3" applyNumberFormat="1" applyFont="1" applyBorder="1" applyAlignment="1">
      <alignment horizontal="center" vertical="center"/>
    </xf>
    <xf numFmtId="176" fontId="3" fillId="0" borderId="15" xfId="3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7" fontId="0" fillId="0" borderId="6" xfId="0" applyNumberFormat="1" applyFont="1" applyBorder="1" applyAlignment="1">
      <alignment horizontal="center" vertical="center"/>
    </xf>
    <xf numFmtId="177" fontId="5" fillId="0" borderId="6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176" fontId="3" fillId="0" borderId="14" xfId="3" applyNumberFormat="1" applyFont="1" applyBorder="1" applyAlignment="1">
      <alignment horizontal="center" vertical="center"/>
    </xf>
    <xf numFmtId="176" fontId="7" fillId="0" borderId="5" xfId="3" applyNumberFormat="1" applyFont="1" applyBorder="1" applyAlignment="1">
      <alignment horizontal="center" vertical="center"/>
    </xf>
    <xf numFmtId="176" fontId="4" fillId="0" borderId="15" xfId="3" applyNumberFormat="1" applyFont="1" applyBorder="1" applyAlignment="1">
      <alignment horizontal="center" vertical="center"/>
    </xf>
    <xf numFmtId="176" fontId="3" fillId="0" borderId="19" xfId="3" applyNumberFormat="1" applyFont="1" applyBorder="1" applyAlignment="1">
      <alignment horizontal="center" vertical="center"/>
    </xf>
    <xf numFmtId="176" fontId="7" fillId="0" borderId="15" xfId="3" applyNumberFormat="1" applyFont="1" applyBorder="1" applyAlignment="1">
      <alignment horizontal="center" vertical="center"/>
    </xf>
    <xf numFmtId="176" fontId="4" fillId="0" borderId="6" xfId="3" applyNumberFormat="1" applyFont="1" applyBorder="1" applyAlignment="1">
      <alignment horizontal="center" vertical="center"/>
    </xf>
    <xf numFmtId="176" fontId="4" fillId="0" borderId="17" xfId="3" applyNumberFormat="1" applyFont="1" applyBorder="1" applyAlignment="1">
      <alignment horizontal="center" vertical="center"/>
    </xf>
    <xf numFmtId="176" fontId="3" fillId="0" borderId="6" xfId="3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177" fontId="0" fillId="0" borderId="13" xfId="3" applyNumberFormat="1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center" vertical="center"/>
    </xf>
    <xf numFmtId="177" fontId="0" fillId="0" borderId="6" xfId="3" applyNumberFormat="1" applyFont="1" applyBorder="1" applyAlignment="1">
      <alignment horizontal="center" vertical="center"/>
    </xf>
    <xf numFmtId="176" fontId="3" fillId="0" borderId="0" xfId="3" applyNumberFormat="1" applyFont="1" applyBorder="1" applyAlignment="1">
      <alignment vertical="center"/>
    </xf>
    <xf numFmtId="176" fontId="0" fillId="0" borderId="0" xfId="3" applyNumberFormat="1" applyBorder="1" applyAlignment="1">
      <alignment vertical="center"/>
    </xf>
    <xf numFmtId="176" fontId="2" fillId="0" borderId="0" xfId="0" applyNumberFormat="1" applyFont="1" applyBorder="1" applyAlignment="1">
      <alignment vertical="center"/>
    </xf>
    <xf numFmtId="43" fontId="0" fillId="0" borderId="0" xfId="3" applyNumberFormat="1" applyBorder="1" applyAlignment="1">
      <alignment vertical="center"/>
    </xf>
    <xf numFmtId="176" fontId="12" fillId="0" borderId="0" xfId="0" applyNumberFormat="1" applyFont="1" applyBorder="1" applyAlignment="1">
      <alignment horizontal="center" vertical="center"/>
    </xf>
    <xf numFmtId="176" fontId="13" fillId="0" borderId="0" xfId="0" applyNumberFormat="1" applyFont="1" applyBorder="1" applyAlignment="1">
      <alignment horizontal="center" vertical="center"/>
    </xf>
    <xf numFmtId="176" fontId="9" fillId="0" borderId="5" xfId="3" applyNumberFormat="1" applyFont="1" applyBorder="1" applyAlignment="1">
      <alignment horizontal="center" vertical="center"/>
    </xf>
    <xf numFmtId="176" fontId="7" fillId="0" borderId="14" xfId="3" applyNumberFormat="1" applyFont="1" applyBorder="1" applyAlignment="1">
      <alignment horizontal="center" vertical="center"/>
    </xf>
    <xf numFmtId="176" fontId="9" fillId="0" borderId="14" xfId="3" applyNumberFormat="1" applyFont="1" applyBorder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176" fontId="9" fillId="0" borderId="15" xfId="3" applyNumberFormat="1" applyFont="1" applyBorder="1" applyAlignment="1">
      <alignment horizontal="center" vertical="center"/>
    </xf>
    <xf numFmtId="176" fontId="7" fillId="0" borderId="16" xfId="3" applyNumberFormat="1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176" fontId="9" fillId="0" borderId="6" xfId="3" applyNumberFormat="1" applyFont="1" applyBorder="1" applyAlignment="1">
      <alignment horizontal="center" vertical="center"/>
    </xf>
    <xf numFmtId="176" fontId="9" fillId="0" borderId="17" xfId="3" applyNumberFormat="1" applyFont="1" applyBorder="1" applyAlignment="1">
      <alignment horizontal="center" vertical="center"/>
    </xf>
    <xf numFmtId="176" fontId="7" fillId="0" borderId="6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5" fillId="0" borderId="14" xfId="3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7" fontId="5" fillId="0" borderId="17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vertical="center" wrapText="1"/>
    </xf>
    <xf numFmtId="176" fontId="5" fillId="0" borderId="0" xfId="3" applyNumberFormat="1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5" fillId="0" borderId="0" xfId="0" applyFont="1" applyFill="1" applyBorder="1" applyAlignment="1"/>
    <xf numFmtId="0" fontId="0" fillId="0" borderId="11" xfId="0" applyBorder="1">
      <alignment vertical="center"/>
    </xf>
    <xf numFmtId="176" fontId="0" fillId="0" borderId="11" xfId="0" applyNumberForma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1"/>
  <sheetViews>
    <sheetView zoomScale="55" zoomScaleNormal="55" workbookViewId="0">
      <selection activeCell="F3" sqref="F3:H7"/>
    </sheetView>
  </sheetViews>
  <sheetFormatPr defaultColWidth="8.72972972972973" defaultRowHeight="14.1"/>
  <cols>
    <col min="1" max="1" width="13.7297297297297" customWidth="1"/>
    <col min="2" max="2" width="16.4504504504505"/>
    <col min="3" max="13" width="15.1801801801802"/>
    <col min="14" max="19" width="12.7837837837838"/>
  </cols>
  <sheetData>
    <row r="1" spans="1:1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>
      <c r="A2" s="10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pans="1:13">
      <c r="A3" s="170" t="s">
        <v>13</v>
      </c>
      <c r="B3" s="171">
        <v>0.926829268292683</v>
      </c>
      <c r="C3" s="171">
        <v>0.952380952380952</v>
      </c>
      <c r="D3" s="171">
        <v>0.9</v>
      </c>
      <c r="E3" s="171">
        <v>0.943089430894309</v>
      </c>
      <c r="F3" s="171">
        <v>0.894736842105263</v>
      </c>
      <c r="G3" s="171">
        <v>0.967741935483871</v>
      </c>
      <c r="H3" s="171">
        <v>0.915662650602409</v>
      </c>
      <c r="I3" s="171">
        <v>0.935064935064935</v>
      </c>
      <c r="J3" s="171">
        <v>0.904761904761904</v>
      </c>
      <c r="K3" s="171">
        <v>0.926829268292683</v>
      </c>
      <c r="L3" s="171">
        <v>1</v>
      </c>
      <c r="M3" s="171">
        <v>1</v>
      </c>
    </row>
    <row r="4" spans="1:13">
      <c r="A4" s="170" t="s">
        <v>14</v>
      </c>
      <c r="B4" s="171">
        <v>0.902654867256637</v>
      </c>
      <c r="C4" s="171">
        <v>0.785714285714285</v>
      </c>
      <c r="D4" s="171">
        <v>0.857142857142857</v>
      </c>
      <c r="E4" s="171">
        <v>0.923076923076923</v>
      </c>
      <c r="F4" s="171">
        <v>0.944444444444444</v>
      </c>
      <c r="G4" s="171">
        <v>0.90625</v>
      </c>
      <c r="H4" s="171">
        <v>0.87719298245614</v>
      </c>
      <c r="I4" s="171">
        <v>0.962962962962962</v>
      </c>
      <c r="J4" s="171">
        <v>0.91089108910891</v>
      </c>
      <c r="K4" s="171">
        <v>0.92</v>
      </c>
      <c r="L4" s="171">
        <v>1</v>
      </c>
      <c r="M4" s="171">
        <v>0.736842105263157</v>
      </c>
    </row>
    <row r="5" spans="1:13">
      <c r="A5" s="170" t="s">
        <v>15</v>
      </c>
      <c r="B5" s="172">
        <v>0.707692307692307</v>
      </c>
      <c r="C5" s="172">
        <v>0.625</v>
      </c>
      <c r="D5" s="172">
        <v>0.790697674418604</v>
      </c>
      <c r="E5" s="173">
        <v>0.730434782608695</v>
      </c>
      <c r="F5" s="172">
        <v>0.971428571428571</v>
      </c>
      <c r="G5" s="172">
        <v>0.592592592592592</v>
      </c>
      <c r="H5" s="172">
        <v>0.482758620689655</v>
      </c>
      <c r="I5" s="173">
        <v>0.787878787878787</v>
      </c>
      <c r="J5" s="172">
        <v>0.538461538461538</v>
      </c>
      <c r="K5" s="172">
        <v>0.75</v>
      </c>
      <c r="L5" s="172">
        <v>0.736842105263157</v>
      </c>
      <c r="M5" s="173">
        <v>0.619047619047619</v>
      </c>
    </row>
    <row r="6" spans="1:13">
      <c r="A6" s="170" t="s">
        <v>16</v>
      </c>
      <c r="B6" s="171">
        <v>0.92</v>
      </c>
      <c r="C6" s="171">
        <v>0.9</v>
      </c>
      <c r="D6" s="171">
        <v>0.857142857142857</v>
      </c>
      <c r="E6" s="171">
        <v>0.906779661016949</v>
      </c>
      <c r="F6" s="171">
        <v>0.944444444444444</v>
      </c>
      <c r="G6" s="171">
        <v>0.914285714285714</v>
      </c>
      <c r="H6" s="171">
        <v>0.810126582278481</v>
      </c>
      <c r="I6" s="171">
        <v>0.963855421686747</v>
      </c>
      <c r="J6" s="171">
        <v>0.863636363636363</v>
      </c>
      <c r="K6" s="171">
        <v>0.893939393939393</v>
      </c>
      <c r="L6" s="171">
        <v>0.869565217391304</v>
      </c>
      <c r="M6" s="171">
        <v>0.888888888888888</v>
      </c>
    </row>
    <row r="7" spans="1:13">
      <c r="A7" s="170" t="s">
        <v>17</v>
      </c>
      <c r="B7" s="174">
        <v>0.883116883116883</v>
      </c>
      <c r="C7" s="174">
        <v>0.833333333333333</v>
      </c>
      <c r="D7" s="174">
        <v>0.87719298245614</v>
      </c>
      <c r="E7" s="174">
        <v>0.92156862745098</v>
      </c>
      <c r="F7" s="174">
        <v>0.944444444444444</v>
      </c>
      <c r="G7" s="174">
        <v>0.972972972972973</v>
      </c>
      <c r="H7" s="174">
        <v>0.878048780487804</v>
      </c>
      <c r="I7" s="174">
        <v>0.969696969696969</v>
      </c>
      <c r="J7" s="174">
        <v>0.870967741935483</v>
      </c>
      <c r="K7" s="174">
        <v>0.934426229508196</v>
      </c>
      <c r="L7" s="174">
        <v>0.909090909090909</v>
      </c>
      <c r="M7" s="174">
        <v>0.833333333333333</v>
      </c>
    </row>
    <row r="11" spans="2:22"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</row>
    <row r="12" spans="2:22"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</row>
    <row r="13" spans="2:22"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</row>
    <row r="14" spans="2:22"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</row>
    <row r="15" spans="2:22"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</row>
    <row r="16" spans="2:22">
      <c r="B16" s="86"/>
      <c r="C16" s="86"/>
      <c r="D16" s="86"/>
      <c r="E16" s="86"/>
      <c r="F16" s="86"/>
      <c r="G16" s="70"/>
      <c r="H16" s="86"/>
      <c r="I16" s="86"/>
      <c r="J16" s="86"/>
      <c r="K16" s="86"/>
      <c r="L16" s="70"/>
      <c r="M16" s="86"/>
      <c r="N16" s="86"/>
      <c r="O16" s="86"/>
      <c r="P16" s="86"/>
      <c r="Q16" s="70"/>
      <c r="R16" s="70"/>
      <c r="S16" s="86"/>
      <c r="T16" s="86"/>
      <c r="U16" s="86"/>
      <c r="V16" s="86"/>
    </row>
    <row r="17" spans="2:22"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</row>
    <row r="18" spans="2:22">
      <c r="B18" s="86"/>
      <c r="C18" s="104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</row>
    <row r="19" spans="2:22">
      <c r="B19" s="86"/>
      <c r="C19" s="104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</row>
    <row r="20" spans="2:22">
      <c r="B20" s="86"/>
      <c r="C20" s="104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</row>
    <row r="21" spans="2:22">
      <c r="B21" s="86"/>
      <c r="C21" s="81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</row>
    <row r="22" spans="2:22">
      <c r="B22" s="86"/>
      <c r="C22" s="104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</row>
    <row r="23" spans="2:22">
      <c r="B23" s="86"/>
      <c r="C23" s="104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</row>
    <row r="24" spans="2:22">
      <c r="B24" s="86"/>
      <c r="C24" s="104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</row>
    <row r="25" spans="2:22">
      <c r="B25" s="86"/>
      <c r="C25" s="81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</row>
    <row r="26" spans="2:22">
      <c r="B26" s="86"/>
      <c r="C26" s="104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</row>
    <row r="27" spans="2:22">
      <c r="B27" s="86"/>
      <c r="C27" s="104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</row>
    <row r="28" spans="2:22">
      <c r="B28" s="86"/>
      <c r="C28" s="104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</row>
    <row r="29" spans="2:22">
      <c r="B29" s="86"/>
      <c r="C29" s="81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</row>
    <row r="30" spans="2:22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</row>
    <row r="31" spans="2:22">
      <c r="B31" s="86"/>
      <c r="C31" s="81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</row>
    <row r="32" spans="2:22">
      <c r="B32" s="86"/>
      <c r="C32" s="70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</row>
    <row r="33" spans="2:22">
      <c r="B33" s="86"/>
      <c r="C33" s="70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</row>
    <row r="34" spans="2:22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</row>
    <row r="35" spans="2:22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</row>
    <row r="36" spans="2:22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</row>
    <row r="37" spans="2:22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</row>
    <row r="38" spans="2:22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</row>
    <row r="39" spans="2:22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</row>
    <row r="40" spans="2:22"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</row>
    <row r="41" spans="2:22"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</row>
  </sheetData>
  <mergeCells count="1">
    <mergeCell ref="A1:M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4"/>
  <sheetViews>
    <sheetView zoomScale="85" zoomScaleNormal="85" topLeftCell="A9" workbookViewId="0">
      <selection activeCell="V41" sqref="V41:W42"/>
    </sheetView>
  </sheetViews>
  <sheetFormatPr defaultColWidth="8.72972972972973" defaultRowHeight="14.1"/>
  <cols>
    <col min="4" max="4" width="12.7837837837838"/>
    <col min="6" max="6" width="12.7837837837838"/>
    <col min="7" max="7" width="9.18018018018018"/>
    <col min="8" max="8" width="12.7837837837838"/>
    <col min="9" max="10" width="9.18018018018018"/>
    <col min="11" max="11" width="12.7837837837838"/>
    <col min="12" max="12" width="13.8918918918919"/>
    <col min="13" max="13" width="12.8198198198198" style="118"/>
    <col min="14" max="14" width="13.8918918918919" style="118"/>
    <col min="15" max="18" width="12.7837837837838" style="118"/>
    <col min="19" max="19" width="15.8108108108108" style="118"/>
    <col min="20" max="26" width="12.7837837837838" style="118"/>
    <col min="27" max="28" width="14.9369369369369" style="118"/>
    <col min="29" max="30" width="12.7837837837838" style="118"/>
    <col min="31" max="33" width="12.8198198198198" style="118"/>
    <col min="34" max="34" width="12.7837837837838" style="118"/>
    <col min="35" max="35" width="12.8198198198198"/>
    <col min="36" max="38" width="12.7837837837838"/>
  </cols>
  <sheetData>
    <row r="1" ht="14.85" spans="1:25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1" t="s">
        <v>19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32" customHeight="1" spans="1:25">
      <c r="A2" s="2" t="s">
        <v>20</v>
      </c>
      <c r="B2" s="2" t="s">
        <v>21</v>
      </c>
      <c r="C2" s="3" t="s">
        <v>22</v>
      </c>
      <c r="D2" s="3"/>
      <c r="E2" s="3"/>
      <c r="F2" s="3"/>
      <c r="G2" s="4" t="s">
        <v>23</v>
      </c>
      <c r="H2" s="4"/>
      <c r="I2" s="3" t="s">
        <v>24</v>
      </c>
      <c r="J2" s="15"/>
      <c r="K2" s="4" t="s">
        <v>25</v>
      </c>
      <c r="L2" s="4"/>
      <c r="N2" s="2" t="s">
        <v>20</v>
      </c>
      <c r="O2" s="2" t="s">
        <v>21</v>
      </c>
      <c r="P2" s="3" t="s">
        <v>22</v>
      </c>
      <c r="Q2" s="3"/>
      <c r="R2" s="3"/>
      <c r="S2" s="3"/>
      <c r="T2" s="4" t="s">
        <v>23</v>
      </c>
      <c r="U2" s="4"/>
      <c r="V2" s="3" t="s">
        <v>24</v>
      </c>
      <c r="W2" s="15"/>
      <c r="X2" s="4" t="s">
        <v>25</v>
      </c>
      <c r="Y2" s="4"/>
    </row>
    <row r="3" ht="12" customHeight="1" spans="1:25">
      <c r="A3" s="5"/>
      <c r="B3" s="5"/>
      <c r="C3" s="6" t="s">
        <v>26</v>
      </c>
      <c r="D3" s="6"/>
      <c r="E3" s="6" t="s">
        <v>27</v>
      </c>
      <c r="F3" s="6"/>
      <c r="G3" s="6"/>
      <c r="H3" s="6"/>
      <c r="I3" s="6"/>
      <c r="J3" s="16"/>
      <c r="K3" s="6"/>
      <c r="L3" s="6"/>
      <c r="N3" s="5"/>
      <c r="O3" s="5"/>
      <c r="P3" s="6" t="s">
        <v>26</v>
      </c>
      <c r="Q3" s="6"/>
      <c r="R3" s="6" t="s">
        <v>27</v>
      </c>
      <c r="S3" s="6"/>
      <c r="T3" s="6"/>
      <c r="U3" s="6"/>
      <c r="V3" s="6"/>
      <c r="W3" s="16"/>
      <c r="X3" s="6"/>
      <c r="Y3" s="6"/>
    </row>
    <row r="4" ht="15.75" spans="1:28">
      <c r="A4" s="7"/>
      <c r="B4" s="7"/>
      <c r="C4" s="7" t="s">
        <v>28</v>
      </c>
      <c r="D4" s="7" t="s">
        <v>29</v>
      </c>
      <c r="E4" s="7" t="s">
        <v>28</v>
      </c>
      <c r="F4" s="7" t="s">
        <v>29</v>
      </c>
      <c r="G4" s="7" t="s">
        <v>28</v>
      </c>
      <c r="H4" s="7" t="s">
        <v>29</v>
      </c>
      <c r="I4" s="7" t="s">
        <v>28</v>
      </c>
      <c r="J4" s="17" t="s">
        <v>29</v>
      </c>
      <c r="K4" s="7" t="s">
        <v>28</v>
      </c>
      <c r="L4" s="7" t="s">
        <v>29</v>
      </c>
      <c r="N4" s="7"/>
      <c r="O4" s="7"/>
      <c r="P4" s="7" t="s">
        <v>28</v>
      </c>
      <c r="Q4" s="7" t="s">
        <v>29</v>
      </c>
      <c r="R4" s="7" t="s">
        <v>28</v>
      </c>
      <c r="S4" s="7" t="s">
        <v>29</v>
      </c>
      <c r="T4" s="7" t="s">
        <v>28</v>
      </c>
      <c r="U4" s="7" t="s">
        <v>29</v>
      </c>
      <c r="V4" s="7" t="s">
        <v>28</v>
      </c>
      <c r="W4" s="17" t="s">
        <v>29</v>
      </c>
      <c r="X4" s="7" t="s">
        <v>28</v>
      </c>
      <c r="Y4" s="7" t="s">
        <v>29</v>
      </c>
      <c r="AB4" s="167"/>
    </row>
    <row r="5" ht="15" spans="1:28">
      <c r="A5" s="5" t="s">
        <v>30</v>
      </c>
      <c r="B5" s="5" t="s">
        <v>1</v>
      </c>
      <c r="C5" s="119">
        <v>0.865</v>
      </c>
      <c r="D5" s="119">
        <v>0.649350649350649</v>
      </c>
      <c r="E5" s="119">
        <v>0.815</v>
      </c>
      <c r="F5" s="119">
        <v>0.602150537634408</v>
      </c>
      <c r="G5" s="119">
        <v>0.9</v>
      </c>
      <c r="H5" s="119">
        <v>0.705882352941176</v>
      </c>
      <c r="I5" s="37">
        <v>0.89</v>
      </c>
      <c r="J5" s="38">
        <v>0.717948717948718</v>
      </c>
      <c r="K5" s="128">
        <v>0.915</v>
      </c>
      <c r="L5" s="128">
        <v>0.711864406779661</v>
      </c>
      <c r="M5" s="129"/>
      <c r="N5" s="5" t="s">
        <v>30</v>
      </c>
      <c r="O5" s="5" t="s">
        <v>1</v>
      </c>
      <c r="P5" s="107">
        <v>0.895</v>
      </c>
      <c r="Q5" s="107">
        <v>0.704225352112676</v>
      </c>
      <c r="R5" s="148">
        <v>0.85</v>
      </c>
      <c r="S5" s="148">
        <v>0.651162790697674</v>
      </c>
      <c r="T5" s="107">
        <v>0.91</v>
      </c>
      <c r="U5" s="107">
        <v>0.727272727272727</v>
      </c>
      <c r="V5" s="106">
        <v>0.905</v>
      </c>
      <c r="W5" s="56">
        <v>0.746666666666666</v>
      </c>
      <c r="X5" s="105">
        <v>0.92</v>
      </c>
      <c r="Y5" s="105">
        <v>0.703703703703703</v>
      </c>
      <c r="AA5" s="167"/>
      <c r="AB5" s="167"/>
    </row>
    <row r="6" ht="15" spans="1:28">
      <c r="A6" s="5"/>
      <c r="B6" s="5" t="s">
        <v>2</v>
      </c>
      <c r="C6" s="37">
        <v>0.915</v>
      </c>
      <c r="D6" s="37">
        <v>0.413793103448275</v>
      </c>
      <c r="E6" s="119">
        <v>0.94</v>
      </c>
      <c r="F6" s="119">
        <v>0.571428571428571</v>
      </c>
      <c r="G6" s="119">
        <v>0.955</v>
      </c>
      <c r="H6" s="119">
        <v>0.64</v>
      </c>
      <c r="I6" s="37">
        <v>0.935</v>
      </c>
      <c r="J6" s="38">
        <v>0.479999999999999</v>
      </c>
      <c r="K6" s="37">
        <v>0.94</v>
      </c>
      <c r="L6" s="37">
        <v>0.4</v>
      </c>
      <c r="M6" s="118"/>
      <c r="N6" s="5"/>
      <c r="O6" s="5" t="s">
        <v>2</v>
      </c>
      <c r="P6" s="106">
        <v>0.93</v>
      </c>
      <c r="Q6" s="106">
        <v>0.461538461538461</v>
      </c>
      <c r="R6" s="148">
        <v>0.95</v>
      </c>
      <c r="S6" s="148">
        <v>0.615384615384615</v>
      </c>
      <c r="T6" s="107">
        <v>0.96</v>
      </c>
      <c r="U6" s="107">
        <v>0.666666666666666</v>
      </c>
      <c r="V6" s="106">
        <v>0.94</v>
      </c>
      <c r="W6" s="56">
        <v>0.5</v>
      </c>
      <c r="X6" s="106">
        <v>0.945</v>
      </c>
      <c r="Y6" s="106">
        <v>0.352941176470588</v>
      </c>
      <c r="AA6" s="167"/>
      <c r="AB6" s="167"/>
    </row>
    <row r="7" ht="15" spans="1:28">
      <c r="A7" s="5"/>
      <c r="B7" s="5" t="s">
        <v>3</v>
      </c>
      <c r="C7" s="37">
        <v>0.89</v>
      </c>
      <c r="D7" s="37">
        <v>0.717948717948718</v>
      </c>
      <c r="E7" s="119">
        <v>0.895</v>
      </c>
      <c r="F7" s="119">
        <v>0.676923076923077</v>
      </c>
      <c r="G7" s="37">
        <v>0.9</v>
      </c>
      <c r="H7" s="37">
        <v>0.714285714285714</v>
      </c>
      <c r="I7" s="37">
        <v>0.885</v>
      </c>
      <c r="J7" s="38">
        <v>0.701298701298701</v>
      </c>
      <c r="K7" s="37">
        <v>0.915</v>
      </c>
      <c r="L7" s="119">
        <v>0.790123456790123</v>
      </c>
      <c r="M7" s="118"/>
      <c r="N7" s="5"/>
      <c r="O7" s="5" t="s">
        <v>3</v>
      </c>
      <c r="P7" s="106">
        <v>0.89</v>
      </c>
      <c r="Q7" s="106">
        <v>0.710526315789473</v>
      </c>
      <c r="R7" s="149">
        <v>0.885</v>
      </c>
      <c r="S7" s="149">
        <v>0.634920634920634</v>
      </c>
      <c r="T7" s="106">
        <v>0.905</v>
      </c>
      <c r="U7" s="106">
        <v>0.72463768115942</v>
      </c>
      <c r="V7" s="106">
        <v>0.89</v>
      </c>
      <c r="W7" s="56">
        <v>0.702702702702702</v>
      </c>
      <c r="X7" s="106">
        <v>0.93</v>
      </c>
      <c r="Y7" s="107">
        <v>0.805555555555555</v>
      </c>
      <c r="AA7" s="167"/>
      <c r="AB7" s="167"/>
    </row>
    <row r="8" ht="15" spans="1:28">
      <c r="A8" s="5"/>
      <c r="B8" s="6" t="s">
        <v>4</v>
      </c>
      <c r="C8" s="37">
        <v>0.61</v>
      </c>
      <c r="D8" s="37">
        <v>0.606060606060606</v>
      </c>
      <c r="E8" s="119">
        <v>0.68</v>
      </c>
      <c r="F8" s="119">
        <v>0.640449438202247</v>
      </c>
      <c r="G8" s="37">
        <v>0.75</v>
      </c>
      <c r="H8" s="37">
        <v>0.705882352941176</v>
      </c>
      <c r="I8" s="37">
        <v>0.69</v>
      </c>
      <c r="J8" s="38">
        <v>0.659340659340659</v>
      </c>
      <c r="K8" s="37">
        <v>0.855</v>
      </c>
      <c r="L8" s="119">
        <v>0.771653543307086</v>
      </c>
      <c r="M8" s="118"/>
      <c r="N8" s="5"/>
      <c r="O8" s="6" t="s">
        <v>4</v>
      </c>
      <c r="P8" s="106">
        <v>0.63</v>
      </c>
      <c r="Q8" s="106">
        <v>0.618556701030927</v>
      </c>
      <c r="R8" s="149">
        <v>0.69</v>
      </c>
      <c r="S8" s="149">
        <v>0.635294117647058</v>
      </c>
      <c r="T8" s="106">
        <v>0.755</v>
      </c>
      <c r="U8" s="106">
        <v>0.706586826347305</v>
      </c>
      <c r="V8" s="106">
        <v>0.7</v>
      </c>
      <c r="W8" s="56">
        <v>0.662921348314606</v>
      </c>
      <c r="X8" s="106">
        <v>0.85</v>
      </c>
      <c r="Y8" s="107">
        <v>0.736842105263158</v>
      </c>
      <c r="Z8" s="118"/>
      <c r="AA8" s="167"/>
      <c r="AB8" s="167"/>
    </row>
    <row r="9" ht="15" spans="1:28">
      <c r="A9" s="6"/>
      <c r="B9" s="6" t="s">
        <v>31</v>
      </c>
      <c r="C9" s="120">
        <f>AVERAGE(C5:C8)</f>
        <v>0.82</v>
      </c>
      <c r="D9" s="120">
        <f t="shared" ref="D9:L9" si="0">AVERAGE(D5:D8)</f>
        <v>0.596788269202062</v>
      </c>
      <c r="E9" s="120">
        <f t="shared" si="0"/>
        <v>0.8325</v>
      </c>
      <c r="F9" s="120">
        <f t="shared" si="0"/>
        <v>0.622737906047076</v>
      </c>
      <c r="G9" s="121">
        <f t="shared" si="0"/>
        <v>0.87625</v>
      </c>
      <c r="H9" s="121">
        <f t="shared" si="0"/>
        <v>0.691512605042016</v>
      </c>
      <c r="I9" s="120">
        <v>0.85</v>
      </c>
      <c r="J9" s="130">
        <v>0.639647019647019</v>
      </c>
      <c r="K9" s="120">
        <f t="shared" si="0"/>
        <v>0.90625</v>
      </c>
      <c r="L9" s="120">
        <f t="shared" si="0"/>
        <v>0.668410351719217</v>
      </c>
      <c r="N9" s="6"/>
      <c r="O9" s="6" t="s">
        <v>31</v>
      </c>
      <c r="P9" s="131">
        <f>AVERAGE(P5:P8)</f>
        <v>0.83625</v>
      </c>
      <c r="Q9" s="131">
        <f t="shared" ref="Q9:Y9" si="1">AVERAGE(Q5:Q8)</f>
        <v>0.623711707617884</v>
      </c>
      <c r="R9" s="131">
        <f t="shared" si="1"/>
        <v>0.84375</v>
      </c>
      <c r="S9" s="131">
        <f t="shared" si="1"/>
        <v>0.634190539662495</v>
      </c>
      <c r="T9" s="150">
        <f t="shared" si="1"/>
        <v>0.8825</v>
      </c>
      <c r="U9" s="150">
        <f t="shared" si="1"/>
        <v>0.706290975361529</v>
      </c>
      <c r="V9" s="131">
        <f t="shared" si="1"/>
        <v>0.85875</v>
      </c>
      <c r="W9" s="151">
        <f t="shared" si="1"/>
        <v>0.653072679420994</v>
      </c>
      <c r="X9" s="131">
        <f t="shared" si="1"/>
        <v>0.91125</v>
      </c>
      <c r="Y9" s="131">
        <f t="shared" si="1"/>
        <v>0.649760635248251</v>
      </c>
      <c r="AA9" s="167"/>
      <c r="AB9" s="167"/>
    </row>
    <row r="10" ht="15" spans="1:28">
      <c r="A10" s="5" t="s">
        <v>32</v>
      </c>
      <c r="B10" s="5" t="s">
        <v>5</v>
      </c>
      <c r="C10" s="37">
        <v>0.98</v>
      </c>
      <c r="D10" s="37">
        <v>0.888888888888888</v>
      </c>
      <c r="E10" s="119">
        <v>0.985</v>
      </c>
      <c r="F10" s="119">
        <v>0.914285714285714</v>
      </c>
      <c r="G10" s="37">
        <v>0.75</v>
      </c>
      <c r="H10" s="37">
        <v>0.705882352941176</v>
      </c>
      <c r="I10" s="37">
        <v>0.985</v>
      </c>
      <c r="J10" s="38">
        <v>0.914285714285714</v>
      </c>
      <c r="K10" s="37">
        <v>0.98</v>
      </c>
      <c r="L10" s="37">
        <v>0.874999999999999</v>
      </c>
      <c r="M10" s="118"/>
      <c r="N10" s="5" t="s">
        <v>32</v>
      </c>
      <c r="O10" s="5" t="s">
        <v>5</v>
      </c>
      <c r="P10" s="106">
        <v>0.985</v>
      </c>
      <c r="Q10" s="106">
        <v>0.914285714285714</v>
      </c>
      <c r="R10" s="149">
        <v>0.985</v>
      </c>
      <c r="S10" s="149">
        <v>0.914285714285714</v>
      </c>
      <c r="T10" s="106">
        <v>0.99</v>
      </c>
      <c r="U10" s="106">
        <v>0.941176470588235</v>
      </c>
      <c r="V10" s="106">
        <v>0.985</v>
      </c>
      <c r="W10" s="56">
        <v>0.914285714285714</v>
      </c>
      <c r="X10" s="106">
        <v>0.98</v>
      </c>
      <c r="Y10" s="106">
        <v>0.866666666666666</v>
      </c>
      <c r="AA10" s="167"/>
      <c r="AB10" s="167"/>
    </row>
    <row r="11" ht="15" spans="1:28">
      <c r="A11" s="5"/>
      <c r="B11" s="5" t="s">
        <v>6</v>
      </c>
      <c r="C11" s="37">
        <v>0.93</v>
      </c>
      <c r="D11" s="37">
        <v>0.533333333333333</v>
      </c>
      <c r="E11" s="119">
        <v>0.845</v>
      </c>
      <c r="F11" s="119">
        <v>0.36734693877551</v>
      </c>
      <c r="G11" s="37">
        <v>0.975</v>
      </c>
      <c r="H11" s="37">
        <v>0.864864864864864</v>
      </c>
      <c r="I11" s="37">
        <v>0.935</v>
      </c>
      <c r="J11" s="38">
        <v>0.580645161290322</v>
      </c>
      <c r="K11" s="37">
        <v>0.95</v>
      </c>
      <c r="L11" s="37">
        <v>0.583333333333333</v>
      </c>
      <c r="M11" s="118"/>
      <c r="N11" s="5"/>
      <c r="O11" s="5" t="s">
        <v>6</v>
      </c>
      <c r="P11" s="106">
        <v>0.93</v>
      </c>
      <c r="Q11" s="106">
        <v>0.5</v>
      </c>
      <c r="R11" s="149">
        <v>0.86</v>
      </c>
      <c r="S11" s="149">
        <v>0.363636363636363</v>
      </c>
      <c r="T11" s="106">
        <v>0.945</v>
      </c>
      <c r="U11" s="106">
        <v>0.64516129032258</v>
      </c>
      <c r="V11" s="106">
        <v>0.935</v>
      </c>
      <c r="W11" s="56">
        <v>0.580645161290322</v>
      </c>
      <c r="X11" s="106">
        <v>0.96</v>
      </c>
      <c r="Y11" s="106">
        <v>0.555555555555555</v>
      </c>
      <c r="AA11" s="167"/>
      <c r="AB11" s="167"/>
    </row>
    <row r="12" ht="15" spans="1:28">
      <c r="A12" s="5"/>
      <c r="B12" s="5" t="s">
        <v>7</v>
      </c>
      <c r="C12" s="37">
        <v>0.835</v>
      </c>
      <c r="D12" s="37">
        <v>0.421052631578947</v>
      </c>
      <c r="E12" s="119">
        <v>0.89</v>
      </c>
      <c r="F12" s="119">
        <v>0.541666666666666</v>
      </c>
      <c r="G12" s="37">
        <v>0.94</v>
      </c>
      <c r="H12" s="37">
        <v>0.625</v>
      </c>
      <c r="I12" s="37">
        <v>0.87</v>
      </c>
      <c r="J12" s="38">
        <v>0.5</v>
      </c>
      <c r="K12" s="37">
        <v>0.905</v>
      </c>
      <c r="L12" s="37">
        <v>0.457142857142857</v>
      </c>
      <c r="M12" s="118"/>
      <c r="N12" s="5"/>
      <c r="O12" s="5" t="s">
        <v>7</v>
      </c>
      <c r="P12" s="106">
        <v>0.86</v>
      </c>
      <c r="Q12" s="106">
        <v>0.44</v>
      </c>
      <c r="R12" s="149">
        <v>0.9</v>
      </c>
      <c r="S12" s="149">
        <v>0.545454545454545</v>
      </c>
      <c r="T12" s="106">
        <v>0.85</v>
      </c>
      <c r="U12" s="106">
        <v>0.464285714285714</v>
      </c>
      <c r="V12" s="106">
        <v>0.885</v>
      </c>
      <c r="W12" s="56">
        <v>0.51063829787234</v>
      </c>
      <c r="X12" s="106">
        <v>0.935</v>
      </c>
      <c r="Y12" s="106">
        <v>0.48</v>
      </c>
      <c r="AA12" s="167"/>
      <c r="AB12" s="167"/>
    </row>
    <row r="13" ht="15" spans="1:28">
      <c r="A13" s="5"/>
      <c r="B13" s="6" t="s">
        <v>8</v>
      </c>
      <c r="C13" s="37">
        <v>0.895</v>
      </c>
      <c r="D13" s="37">
        <v>0.727272727272727</v>
      </c>
      <c r="E13" s="119">
        <v>0.855</v>
      </c>
      <c r="F13" s="119">
        <v>0.681318681318681</v>
      </c>
      <c r="G13" s="37">
        <v>0.835</v>
      </c>
      <c r="H13" s="37">
        <v>0.440677966101694</v>
      </c>
      <c r="I13" s="37">
        <v>0.91</v>
      </c>
      <c r="J13" s="38">
        <v>0.769230769230769</v>
      </c>
      <c r="K13" s="37">
        <v>0.94</v>
      </c>
      <c r="L13" s="37">
        <v>0.837837837837837</v>
      </c>
      <c r="M13" s="118"/>
      <c r="N13" s="5"/>
      <c r="O13" s="6" t="s">
        <v>8</v>
      </c>
      <c r="P13" s="106">
        <v>0.91</v>
      </c>
      <c r="Q13" s="106">
        <v>0.749999999999999</v>
      </c>
      <c r="R13" s="149">
        <v>0.86</v>
      </c>
      <c r="S13" s="149">
        <v>0.681818181818181</v>
      </c>
      <c r="T13" s="106">
        <v>0.87</v>
      </c>
      <c r="U13" s="106">
        <v>0.69047619047619</v>
      </c>
      <c r="V13" s="106">
        <v>0.915</v>
      </c>
      <c r="W13" s="56">
        <v>0.773333333333333</v>
      </c>
      <c r="X13" s="106">
        <v>0.94</v>
      </c>
      <c r="Y13" s="106">
        <v>0.818181818181818</v>
      </c>
      <c r="AA13" s="167"/>
      <c r="AB13" s="167"/>
    </row>
    <row r="14" ht="15" spans="1:28">
      <c r="A14" s="6"/>
      <c r="B14" s="6" t="s">
        <v>31</v>
      </c>
      <c r="C14" s="120">
        <f>AVERAGE(C10:C13)</f>
        <v>0.91</v>
      </c>
      <c r="D14" s="120">
        <f>AVERAGE(D10:D13)</f>
        <v>0.642636895268474</v>
      </c>
      <c r="E14" s="120">
        <f>AVERAGE(E10:E13)</f>
        <v>0.89375</v>
      </c>
      <c r="F14" s="120">
        <f>AVERAGE(F10:F13)</f>
        <v>0.626154500261643</v>
      </c>
      <c r="G14" s="120">
        <v>0.87</v>
      </c>
      <c r="H14" s="120">
        <v>0.697674418604651</v>
      </c>
      <c r="I14" s="121">
        <v>0.925</v>
      </c>
      <c r="J14" s="130">
        <v>0.691040411201701</v>
      </c>
      <c r="K14" s="120">
        <f>AVERAGE(K10:K13)</f>
        <v>0.94375</v>
      </c>
      <c r="L14" s="120">
        <f>AVERAGE(L10:L13)</f>
        <v>0.688328507078507</v>
      </c>
      <c r="N14" s="6"/>
      <c r="O14" s="6" t="s">
        <v>31</v>
      </c>
      <c r="P14" s="131">
        <f>AVERAGE(P10:P13)</f>
        <v>0.92125</v>
      </c>
      <c r="Q14" s="131">
        <f t="shared" ref="Q14:Y14" si="2">AVERAGE(Q10:Q13)</f>
        <v>0.651071428571428</v>
      </c>
      <c r="R14" s="131">
        <f t="shared" si="2"/>
        <v>0.90125</v>
      </c>
      <c r="S14" s="131">
        <f t="shared" si="2"/>
        <v>0.626298701298701</v>
      </c>
      <c r="T14" s="131">
        <f t="shared" si="2"/>
        <v>0.91375</v>
      </c>
      <c r="U14" s="131">
        <f t="shared" si="2"/>
        <v>0.68527491641818</v>
      </c>
      <c r="V14" s="150">
        <f t="shared" si="2"/>
        <v>0.93</v>
      </c>
      <c r="W14" s="152">
        <f t="shared" si="2"/>
        <v>0.694725626695427</v>
      </c>
      <c r="X14" s="131">
        <f t="shared" si="2"/>
        <v>0.95375</v>
      </c>
      <c r="Y14" s="131">
        <f t="shared" si="2"/>
        <v>0.68010101010101</v>
      </c>
      <c r="AA14" s="167"/>
      <c r="AB14" s="167"/>
    </row>
    <row r="15" ht="15" spans="1:28">
      <c r="A15" s="5" t="s">
        <v>33</v>
      </c>
      <c r="B15" s="5" t="s">
        <v>9</v>
      </c>
      <c r="C15" s="37">
        <v>0.94</v>
      </c>
      <c r="D15" s="37">
        <v>0.647058823529411</v>
      </c>
      <c r="E15" s="119">
        <v>0.77</v>
      </c>
      <c r="F15" s="119">
        <v>0.303030303030303</v>
      </c>
      <c r="G15" s="37">
        <v>0.9</v>
      </c>
      <c r="H15" s="37">
        <v>0.545454545454545</v>
      </c>
      <c r="I15" s="37">
        <v>0.945</v>
      </c>
      <c r="J15" s="38">
        <v>0.685714285714285</v>
      </c>
      <c r="K15" s="37">
        <v>0.965</v>
      </c>
      <c r="L15" s="37">
        <v>0.631578947368421</v>
      </c>
      <c r="M15" s="118"/>
      <c r="N15" s="5" t="s">
        <v>33</v>
      </c>
      <c r="O15" s="5" t="s">
        <v>9</v>
      </c>
      <c r="P15" s="106">
        <v>0.91</v>
      </c>
      <c r="Q15" s="106">
        <v>0.749999999999999</v>
      </c>
      <c r="R15" s="153">
        <v>0.795</v>
      </c>
      <c r="S15" s="153">
        <v>0.305084745762711</v>
      </c>
      <c r="T15" s="106">
        <v>0.92</v>
      </c>
      <c r="U15" s="106">
        <v>0.6</v>
      </c>
      <c r="V15" s="106">
        <v>0.95</v>
      </c>
      <c r="W15" s="56">
        <v>0.705882352941176</v>
      </c>
      <c r="X15" s="106">
        <v>0.955</v>
      </c>
      <c r="Y15" s="106">
        <v>0.470588235294117</v>
      </c>
      <c r="AA15" s="167"/>
      <c r="AB15" s="167"/>
    </row>
    <row r="16" ht="15" spans="1:28">
      <c r="A16" s="5"/>
      <c r="B16" s="5" t="s">
        <v>10</v>
      </c>
      <c r="C16" s="37">
        <v>0.89</v>
      </c>
      <c r="D16" s="37">
        <v>0.73170731707317</v>
      </c>
      <c r="E16" s="119">
        <v>0.72</v>
      </c>
      <c r="F16" s="119">
        <v>0.508771929824561</v>
      </c>
      <c r="G16" s="37">
        <v>0.795</v>
      </c>
      <c r="H16" s="37">
        <v>0.601941747572815</v>
      </c>
      <c r="I16" s="37">
        <v>0.82</v>
      </c>
      <c r="J16" s="38">
        <v>0.647058823529411</v>
      </c>
      <c r="K16" s="37">
        <v>0.91</v>
      </c>
      <c r="L16" s="37">
        <v>0.742857142857142</v>
      </c>
      <c r="M16" s="118"/>
      <c r="N16" s="5"/>
      <c r="O16" s="5" t="s">
        <v>10</v>
      </c>
      <c r="P16" s="106">
        <v>0.94</v>
      </c>
      <c r="Q16" s="106">
        <v>0.625</v>
      </c>
      <c r="R16" s="153">
        <v>0.73</v>
      </c>
      <c r="S16" s="153">
        <v>0.517857142857142</v>
      </c>
      <c r="T16" s="106">
        <v>0.825</v>
      </c>
      <c r="U16" s="106">
        <v>0.639175257731958</v>
      </c>
      <c r="V16" s="106">
        <v>0.835</v>
      </c>
      <c r="W16" s="56">
        <v>0.666666666666666</v>
      </c>
      <c r="X16" s="106">
        <v>0.91</v>
      </c>
      <c r="Y16" s="106">
        <v>0.727272727272727</v>
      </c>
      <c r="AA16" s="167"/>
      <c r="AB16" s="167"/>
    </row>
    <row r="17" ht="15" spans="1:28">
      <c r="A17" s="5"/>
      <c r="B17" s="5" t="s">
        <v>11</v>
      </c>
      <c r="C17" s="37">
        <v>0.99</v>
      </c>
      <c r="D17" s="37">
        <v>0.909090909090909</v>
      </c>
      <c r="E17" s="119">
        <v>0.93</v>
      </c>
      <c r="F17" s="119">
        <v>0.611111111111111</v>
      </c>
      <c r="G17" s="37">
        <v>0.965</v>
      </c>
      <c r="H17" s="37">
        <v>0.74074074074074</v>
      </c>
      <c r="I17" s="37">
        <v>0.995</v>
      </c>
      <c r="J17" s="38">
        <v>0.952380952380952</v>
      </c>
      <c r="K17" s="119">
        <v>0.97</v>
      </c>
      <c r="L17" s="119">
        <v>0.727272727272727</v>
      </c>
      <c r="M17" s="118"/>
      <c r="N17" s="5"/>
      <c r="O17" s="5" t="s">
        <v>11</v>
      </c>
      <c r="P17" s="106">
        <v>0.885</v>
      </c>
      <c r="Q17" s="106">
        <v>0.70886075949367</v>
      </c>
      <c r="R17" s="153">
        <v>0.945</v>
      </c>
      <c r="S17" s="153">
        <v>0.666666666666666</v>
      </c>
      <c r="T17" s="106">
        <v>0.97</v>
      </c>
      <c r="U17" s="106">
        <v>0.769230769230769</v>
      </c>
      <c r="V17" s="106">
        <v>0.995</v>
      </c>
      <c r="W17" s="56">
        <v>0.952380952380952</v>
      </c>
      <c r="X17" s="107">
        <v>0.975</v>
      </c>
      <c r="Y17" s="107">
        <v>0.761904761904762</v>
      </c>
      <c r="AA17" s="167"/>
      <c r="AB17" s="167"/>
    </row>
    <row r="18" spans="1:25">
      <c r="A18" s="5"/>
      <c r="B18" s="6" t="s">
        <v>12</v>
      </c>
      <c r="C18" s="119">
        <v>0.92</v>
      </c>
      <c r="D18" s="119">
        <v>0.466666666666666</v>
      </c>
      <c r="E18" s="119">
        <v>0.845</v>
      </c>
      <c r="F18" s="119">
        <v>0.415094339622641</v>
      </c>
      <c r="G18" s="37">
        <v>0.89</v>
      </c>
      <c r="H18" s="37">
        <v>0.476190476190476</v>
      </c>
      <c r="I18" s="37">
        <v>0.94</v>
      </c>
      <c r="J18" s="38">
        <v>0.625</v>
      </c>
      <c r="K18" s="119">
        <v>0.885</v>
      </c>
      <c r="L18" s="119">
        <v>0.465116279069767</v>
      </c>
      <c r="N18" s="5"/>
      <c r="O18" s="6" t="s">
        <v>12</v>
      </c>
      <c r="P18" s="107">
        <v>0.99</v>
      </c>
      <c r="Q18" s="107">
        <v>0.90909</v>
      </c>
      <c r="R18" s="153">
        <v>0.855</v>
      </c>
      <c r="S18" s="153">
        <v>0.431372549019607</v>
      </c>
      <c r="T18" s="106">
        <v>0.905</v>
      </c>
      <c r="U18" s="106">
        <v>0.512820512820512</v>
      </c>
      <c r="V18" s="106">
        <v>0.945</v>
      </c>
      <c r="W18" s="56">
        <v>0.64516129032258</v>
      </c>
      <c r="X18" s="107">
        <v>0.92</v>
      </c>
      <c r="Y18" s="107">
        <v>0.5</v>
      </c>
    </row>
    <row r="19" spans="1:25">
      <c r="A19" s="5"/>
      <c r="B19" s="5" t="s">
        <v>31</v>
      </c>
      <c r="C19" s="122">
        <f>AVERAGE(C15:C18)</f>
        <v>0.935</v>
      </c>
      <c r="D19" s="122">
        <f t="shared" ref="D19:L19" si="3">AVERAGE(D15:D18)</f>
        <v>0.688630929090039</v>
      </c>
      <c r="E19" s="122">
        <f t="shared" si="3"/>
        <v>0.81625</v>
      </c>
      <c r="F19" s="122">
        <f t="shared" si="3"/>
        <v>0.459501920897154</v>
      </c>
      <c r="G19" s="122">
        <f t="shared" si="3"/>
        <v>0.8875</v>
      </c>
      <c r="H19" s="122">
        <f t="shared" si="3"/>
        <v>0.591081877489644</v>
      </c>
      <c r="I19" s="132">
        <f>AVERAGE(I15:I18)</f>
        <v>0.925</v>
      </c>
      <c r="J19" s="132">
        <f>AVERAGE(J15:J18)</f>
        <v>0.727538515406162</v>
      </c>
      <c r="K19" s="133">
        <f>AVERAGE(K15:K18)</f>
        <v>0.9325</v>
      </c>
      <c r="L19" s="122">
        <f>AVERAGE(L15:L18)</f>
        <v>0.641706274142014</v>
      </c>
      <c r="N19" s="5"/>
      <c r="O19" s="5" t="s">
        <v>31</v>
      </c>
      <c r="P19" s="134">
        <f>AVERAGE(P15:P18)</f>
        <v>0.93125</v>
      </c>
      <c r="Q19" s="154">
        <f t="shared" ref="Q19:Y19" si="4">AVERAGE(Q15:Q18)</f>
        <v>0.748237689873417</v>
      </c>
      <c r="R19" s="134">
        <f t="shared" si="4"/>
        <v>0.83125</v>
      </c>
      <c r="S19" s="134">
        <f t="shared" si="4"/>
        <v>0.480245276076532</v>
      </c>
      <c r="T19" s="131">
        <f t="shared" si="4"/>
        <v>0.905</v>
      </c>
      <c r="U19" s="131">
        <f t="shared" si="4"/>
        <v>0.63030663494581</v>
      </c>
      <c r="V19" s="154">
        <f t="shared" si="4"/>
        <v>0.93125</v>
      </c>
      <c r="W19" s="155">
        <f t="shared" si="4"/>
        <v>0.742522815577843</v>
      </c>
      <c r="X19" s="134">
        <f t="shared" si="4"/>
        <v>0.94</v>
      </c>
      <c r="Y19" s="134">
        <f t="shared" si="4"/>
        <v>0.614941431117901</v>
      </c>
    </row>
    <row r="20" ht="14.85" spans="1:25">
      <c r="A20" s="82" t="s">
        <v>34</v>
      </c>
      <c r="B20" s="82"/>
      <c r="C20" s="123">
        <v>0.24</v>
      </c>
      <c r="D20" s="123">
        <v>0.6427</v>
      </c>
      <c r="E20" s="123">
        <v>0.1</v>
      </c>
      <c r="F20" s="123">
        <v>0.5724</v>
      </c>
      <c r="G20" s="123">
        <v>0.28</v>
      </c>
      <c r="H20" s="123">
        <v>0.6527</v>
      </c>
      <c r="I20" s="135">
        <v>0.305</v>
      </c>
      <c r="J20" s="136">
        <v>0.6791</v>
      </c>
      <c r="K20" s="137">
        <v>0.475</v>
      </c>
      <c r="L20" s="137">
        <v>0.7129</v>
      </c>
      <c r="N20" s="82" t="s">
        <v>34</v>
      </c>
      <c r="O20" s="82"/>
      <c r="P20" s="138">
        <v>0.265</v>
      </c>
      <c r="Q20" s="138">
        <v>0.6564</v>
      </c>
      <c r="R20" s="138">
        <v>0.135</v>
      </c>
      <c r="S20" s="138">
        <v>0.582</v>
      </c>
      <c r="T20" s="156">
        <v>0.3</v>
      </c>
      <c r="U20" s="156">
        <v>0.6739</v>
      </c>
      <c r="V20" s="157">
        <v>0.315</v>
      </c>
      <c r="W20" s="158">
        <v>0.6906</v>
      </c>
      <c r="X20" s="159">
        <v>0.41</v>
      </c>
      <c r="Y20" s="159">
        <v>0.7068</v>
      </c>
    </row>
    <row r="21" spans="1:12">
      <c r="A21" s="1"/>
      <c r="B21" s="1"/>
      <c r="C21" s="1"/>
      <c r="D21" s="1"/>
      <c r="E21" s="1"/>
      <c r="F21" s="1"/>
      <c r="G21" s="1"/>
      <c r="H21" s="1"/>
      <c r="I21" s="139"/>
      <c r="J21" s="139"/>
      <c r="K21" s="1"/>
      <c r="L21" s="1"/>
    </row>
    <row r="22" ht="15.75" spans="1:30">
      <c r="A22" s="1" t="s">
        <v>35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N22" s="1" t="s">
        <v>36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AC22" s="167"/>
      <c r="AD22" s="167"/>
    </row>
    <row r="23" ht="15" spans="1:30">
      <c r="A23" s="2" t="s">
        <v>20</v>
      </c>
      <c r="B23" s="2" t="s">
        <v>21</v>
      </c>
      <c r="C23" s="3" t="s">
        <v>22</v>
      </c>
      <c r="D23" s="3"/>
      <c r="E23" s="3"/>
      <c r="F23" s="3"/>
      <c r="G23" s="4" t="s">
        <v>23</v>
      </c>
      <c r="H23" s="4"/>
      <c r="I23" s="3" t="s">
        <v>24</v>
      </c>
      <c r="J23" s="15"/>
      <c r="K23" s="22" t="s">
        <v>25</v>
      </c>
      <c r="L23" s="22"/>
      <c r="N23" s="2" t="s">
        <v>20</v>
      </c>
      <c r="O23" s="2" t="s">
        <v>21</v>
      </c>
      <c r="P23" s="3" t="s">
        <v>22</v>
      </c>
      <c r="Q23" s="3"/>
      <c r="R23" s="3"/>
      <c r="S23" s="3"/>
      <c r="T23" s="4" t="s">
        <v>23</v>
      </c>
      <c r="U23" s="4"/>
      <c r="V23" s="3" t="s">
        <v>24</v>
      </c>
      <c r="W23" s="15"/>
      <c r="X23" s="22" t="s">
        <v>25</v>
      </c>
      <c r="Y23" s="22"/>
      <c r="AC23" s="167"/>
      <c r="AD23" s="167"/>
    </row>
    <row r="24" spans="1:25">
      <c r="A24" s="5"/>
      <c r="B24" s="5"/>
      <c r="C24" s="6" t="s">
        <v>26</v>
      </c>
      <c r="D24" s="6"/>
      <c r="E24" s="6" t="s">
        <v>27</v>
      </c>
      <c r="F24" s="6"/>
      <c r="G24" s="6"/>
      <c r="H24" s="6"/>
      <c r="I24" s="6"/>
      <c r="J24" s="16"/>
      <c r="K24" s="21"/>
      <c r="L24" s="21"/>
      <c r="N24" s="5"/>
      <c r="O24" s="5"/>
      <c r="P24" s="6" t="s">
        <v>26</v>
      </c>
      <c r="Q24" s="6"/>
      <c r="R24" s="6" t="s">
        <v>27</v>
      </c>
      <c r="S24" s="6"/>
      <c r="T24" s="6"/>
      <c r="U24" s="6"/>
      <c r="V24" s="6"/>
      <c r="W24" s="16"/>
      <c r="X24" s="21"/>
      <c r="Y24" s="21"/>
    </row>
    <row r="25" ht="14.85" spans="1:25">
      <c r="A25" s="7"/>
      <c r="B25" s="7"/>
      <c r="C25" s="7" t="s">
        <v>28</v>
      </c>
      <c r="D25" s="7" t="s">
        <v>29</v>
      </c>
      <c r="E25" s="7" t="s">
        <v>28</v>
      </c>
      <c r="F25" s="7" t="s">
        <v>29</v>
      </c>
      <c r="G25" s="7" t="s">
        <v>28</v>
      </c>
      <c r="H25" s="7" t="s">
        <v>29</v>
      </c>
      <c r="I25" s="7" t="s">
        <v>28</v>
      </c>
      <c r="J25" s="17" t="s">
        <v>29</v>
      </c>
      <c r="K25" s="23" t="s">
        <v>28</v>
      </c>
      <c r="L25" s="23" t="s">
        <v>29</v>
      </c>
      <c r="N25" s="7"/>
      <c r="O25" s="7"/>
      <c r="P25" s="7" t="s">
        <v>28</v>
      </c>
      <c r="Q25" s="7" t="s">
        <v>29</v>
      </c>
      <c r="R25" s="7" t="s">
        <v>28</v>
      </c>
      <c r="S25" s="7" t="s">
        <v>29</v>
      </c>
      <c r="T25" s="7" t="s">
        <v>28</v>
      </c>
      <c r="U25" s="7" t="s">
        <v>29</v>
      </c>
      <c r="V25" s="7" t="s">
        <v>28</v>
      </c>
      <c r="W25" s="17" t="s">
        <v>29</v>
      </c>
      <c r="X25" s="23" t="s">
        <v>28</v>
      </c>
      <c r="Y25" s="23" t="s">
        <v>29</v>
      </c>
    </row>
    <row r="26" spans="1:25">
      <c r="A26" s="5" t="s">
        <v>30</v>
      </c>
      <c r="B26" s="5" t="s">
        <v>1</v>
      </c>
      <c r="C26" s="70">
        <v>0.9</v>
      </c>
      <c r="D26" s="70">
        <v>0.714285714285714</v>
      </c>
      <c r="E26" s="70">
        <v>0.835</v>
      </c>
      <c r="F26" s="70">
        <v>0.620689655172413</v>
      </c>
      <c r="G26" s="124">
        <v>0.885</v>
      </c>
      <c r="H26" s="124">
        <v>0.676056338028169</v>
      </c>
      <c r="I26" s="70">
        <v>0.885</v>
      </c>
      <c r="J26" s="71">
        <v>0.70886075949367</v>
      </c>
      <c r="K26" s="24">
        <v>0.915</v>
      </c>
      <c r="L26" s="24">
        <v>0.711864406779661</v>
      </c>
      <c r="N26" s="5" t="s">
        <v>30</v>
      </c>
      <c r="O26" s="5" t="s">
        <v>1</v>
      </c>
      <c r="P26" s="124">
        <v>0.9</v>
      </c>
      <c r="Q26" s="124">
        <v>0.705882352941176</v>
      </c>
      <c r="R26" s="70">
        <v>0.845</v>
      </c>
      <c r="S26" s="70">
        <v>0.626506024096385</v>
      </c>
      <c r="T26" s="160">
        <v>0.895</v>
      </c>
      <c r="U26" s="160">
        <v>0.686567164179104</v>
      </c>
      <c r="V26" s="70">
        <v>0.885</v>
      </c>
      <c r="W26" s="71">
        <v>0.70886075949367</v>
      </c>
      <c r="X26" s="24">
        <v>0.905</v>
      </c>
      <c r="Y26" s="24">
        <v>0.707692307692307</v>
      </c>
    </row>
    <row r="27" spans="1:25">
      <c r="A27" s="5"/>
      <c r="B27" s="5" t="s">
        <v>2</v>
      </c>
      <c r="C27" s="70">
        <v>0.94</v>
      </c>
      <c r="D27" s="70">
        <v>0.5</v>
      </c>
      <c r="E27" s="70">
        <v>0.935</v>
      </c>
      <c r="F27" s="70">
        <v>0.518518518518518</v>
      </c>
      <c r="G27" s="124">
        <v>0.96</v>
      </c>
      <c r="H27" s="124">
        <v>0.692307692307692</v>
      </c>
      <c r="I27" s="70">
        <v>0.94</v>
      </c>
      <c r="J27" s="71">
        <v>0.5</v>
      </c>
      <c r="K27" s="24">
        <v>0.94</v>
      </c>
      <c r="L27" s="24">
        <v>0.4</v>
      </c>
      <c r="M27" s="140"/>
      <c r="N27" s="5"/>
      <c r="O27" s="5" t="s">
        <v>2</v>
      </c>
      <c r="P27" s="124">
        <v>0.94</v>
      </c>
      <c r="Q27" s="124">
        <v>0.5</v>
      </c>
      <c r="R27" s="70">
        <v>0.935</v>
      </c>
      <c r="S27" s="70">
        <v>0.518518518518518</v>
      </c>
      <c r="T27" s="160">
        <v>0.955</v>
      </c>
      <c r="U27" s="160">
        <v>0.64</v>
      </c>
      <c r="V27" s="70">
        <v>0.945</v>
      </c>
      <c r="W27" s="71">
        <v>0.521739130434782</v>
      </c>
      <c r="X27" s="24">
        <v>0.94</v>
      </c>
      <c r="Y27" s="24">
        <v>0.625</v>
      </c>
    </row>
    <row r="28" spans="1:25">
      <c r="A28" s="5"/>
      <c r="B28" s="5" t="s">
        <v>3</v>
      </c>
      <c r="C28" s="70">
        <v>0.885</v>
      </c>
      <c r="D28" s="70">
        <v>0.701298701298701</v>
      </c>
      <c r="E28" s="70">
        <v>0.88</v>
      </c>
      <c r="F28" s="70">
        <v>0.625</v>
      </c>
      <c r="G28" s="124">
        <v>0.895</v>
      </c>
      <c r="H28" s="124">
        <v>0.686567164179104</v>
      </c>
      <c r="I28" s="70">
        <v>0.895</v>
      </c>
      <c r="J28" s="71">
        <v>0.734177215189873</v>
      </c>
      <c r="K28" s="24">
        <v>0.915</v>
      </c>
      <c r="L28" s="24">
        <v>0.790123456790123</v>
      </c>
      <c r="N28" s="5"/>
      <c r="O28" s="5" t="s">
        <v>3</v>
      </c>
      <c r="P28" s="124">
        <v>0.88</v>
      </c>
      <c r="Q28" s="124">
        <v>0.684210526315789</v>
      </c>
      <c r="R28" s="70">
        <v>0.875</v>
      </c>
      <c r="S28" s="70">
        <v>0.590163934426229</v>
      </c>
      <c r="T28" s="160">
        <v>0.9</v>
      </c>
      <c r="U28" s="160">
        <v>0.696969696969697</v>
      </c>
      <c r="V28" s="70">
        <v>0.885</v>
      </c>
      <c r="W28" s="71">
        <v>0.693333333333333</v>
      </c>
      <c r="X28" s="24">
        <v>0.91</v>
      </c>
      <c r="Y28" s="24">
        <v>0.790697674418604</v>
      </c>
    </row>
    <row r="29" spans="1:25">
      <c r="A29" s="5"/>
      <c r="B29" s="6" t="s">
        <v>4</v>
      </c>
      <c r="C29" s="73">
        <v>0.64</v>
      </c>
      <c r="D29" s="73">
        <v>0.625</v>
      </c>
      <c r="E29" s="73">
        <v>0.675</v>
      </c>
      <c r="F29" s="73">
        <v>0.640883977900552</v>
      </c>
      <c r="G29" s="124">
        <v>0.73</v>
      </c>
      <c r="H29" s="124">
        <v>0.686046511627907</v>
      </c>
      <c r="I29" s="73">
        <v>0.69</v>
      </c>
      <c r="J29" s="74">
        <v>0.659340659340659</v>
      </c>
      <c r="K29" s="26">
        <v>0.855</v>
      </c>
      <c r="L29" s="26">
        <v>0.771653543307086</v>
      </c>
      <c r="N29" s="5"/>
      <c r="O29" s="6" t="s">
        <v>4</v>
      </c>
      <c r="P29" s="124">
        <v>0.655</v>
      </c>
      <c r="Q29" s="124">
        <v>0.631016042780748</v>
      </c>
      <c r="R29" s="73">
        <v>0.675</v>
      </c>
      <c r="S29" s="73">
        <v>0.632768361581921</v>
      </c>
      <c r="T29" s="160">
        <v>0.755</v>
      </c>
      <c r="U29" s="160">
        <v>0.703030303030303</v>
      </c>
      <c r="V29" s="73">
        <v>0.705</v>
      </c>
      <c r="W29" s="74">
        <v>0.666666666666666</v>
      </c>
      <c r="X29" s="26">
        <v>0.845</v>
      </c>
      <c r="Y29" s="26">
        <v>0.730434782608695</v>
      </c>
    </row>
    <row r="30" spans="1:25">
      <c r="A30" s="6"/>
      <c r="B30" s="6" t="s">
        <v>31</v>
      </c>
      <c r="C30" s="73">
        <f>AVERAGE(C26:C29)</f>
        <v>0.84125</v>
      </c>
      <c r="D30" s="73">
        <f t="shared" ref="D30:L30" si="5">AVERAGE(D26:D29)</f>
        <v>0.635146103896104</v>
      </c>
      <c r="E30" s="73">
        <f t="shared" si="5"/>
        <v>0.83125</v>
      </c>
      <c r="F30" s="73">
        <f t="shared" si="5"/>
        <v>0.601273037897871</v>
      </c>
      <c r="G30" s="77">
        <f>AVERAGE(G26:G29)</f>
        <v>0.8675</v>
      </c>
      <c r="H30" s="77">
        <f>AVERAGE(H26:H29)</f>
        <v>0.685244426535718</v>
      </c>
      <c r="I30" s="75">
        <f>AVERAGE(I26:I29)</f>
        <v>0.8525</v>
      </c>
      <c r="J30" s="75">
        <f>AVERAGE(J26:J29)</f>
        <v>0.65059465850605</v>
      </c>
      <c r="K30" s="141">
        <f t="shared" si="5"/>
        <v>0.90625</v>
      </c>
      <c r="L30" s="73">
        <f t="shared" si="5"/>
        <v>0.668410351719217</v>
      </c>
      <c r="N30" s="6"/>
      <c r="O30" s="6" t="s">
        <v>31</v>
      </c>
      <c r="P30" s="75">
        <f>AVERAGE(P26:P29)</f>
        <v>0.84375</v>
      </c>
      <c r="Q30" s="75">
        <f>AVERAGE(Q26:Q29)</f>
        <v>0.630277230509428</v>
      </c>
      <c r="R30" s="75">
        <f>AVERAGE(R26:R29)</f>
        <v>0.8325</v>
      </c>
      <c r="S30" s="75">
        <f>AVERAGE(S26:S29)</f>
        <v>0.591989209655763</v>
      </c>
      <c r="T30" s="77">
        <f>AVERAGE(T26:T29)</f>
        <v>0.87625</v>
      </c>
      <c r="U30" s="77">
        <f>AVERAGE(U26:U29)</f>
        <v>0.681641791044776</v>
      </c>
      <c r="V30" s="75">
        <f>AVERAGE(V26:V29)</f>
        <v>0.855</v>
      </c>
      <c r="W30" s="76">
        <f>AVERAGE(W26:W29)</f>
        <v>0.647649972482113</v>
      </c>
      <c r="X30" s="75">
        <f>AVERAGE(X26:X29)</f>
        <v>0.9</v>
      </c>
      <c r="Y30" s="75">
        <f>AVERAGE(Y26:Y29)</f>
        <v>0.713456191179901</v>
      </c>
    </row>
    <row r="31" ht="15" spans="1:28">
      <c r="A31" s="5" t="s">
        <v>32</v>
      </c>
      <c r="B31" s="5" t="s">
        <v>5</v>
      </c>
      <c r="C31" s="70">
        <v>0.98</v>
      </c>
      <c r="D31" s="70">
        <v>0.888888888888888</v>
      </c>
      <c r="E31" s="70">
        <v>0.985</v>
      </c>
      <c r="F31" s="70">
        <v>0.914285714285714</v>
      </c>
      <c r="G31" s="124">
        <v>0.985</v>
      </c>
      <c r="H31" s="124">
        <v>0.914285714285714</v>
      </c>
      <c r="I31" s="70">
        <v>0.985</v>
      </c>
      <c r="J31" s="71">
        <v>0.914285714285714</v>
      </c>
      <c r="K31" s="24">
        <v>0.98</v>
      </c>
      <c r="L31" s="24">
        <v>0.874999999999999</v>
      </c>
      <c r="N31" s="5" t="s">
        <v>32</v>
      </c>
      <c r="O31" s="5" t="s">
        <v>5</v>
      </c>
      <c r="P31" s="124">
        <v>0.985</v>
      </c>
      <c r="Q31" s="124">
        <v>0.914285714285714</v>
      </c>
      <c r="R31" s="70">
        <v>0.985</v>
      </c>
      <c r="S31" s="70">
        <v>0.914285714285714</v>
      </c>
      <c r="T31" s="160">
        <v>0.985</v>
      </c>
      <c r="U31" s="160">
        <v>0.914285714285714</v>
      </c>
      <c r="V31" s="70">
        <v>0.99</v>
      </c>
      <c r="W31" s="71">
        <v>0.941176470588235</v>
      </c>
      <c r="X31" s="24">
        <v>0.995</v>
      </c>
      <c r="Y31" s="24">
        <v>0.971428571428571</v>
      </c>
      <c r="Z31" s="118"/>
      <c r="AA31" s="168"/>
      <c r="AB31" s="169"/>
    </row>
    <row r="32" spans="1:30">
      <c r="A32" s="5"/>
      <c r="B32" s="5" t="s">
        <v>6</v>
      </c>
      <c r="C32" s="70">
        <v>0.93</v>
      </c>
      <c r="D32" s="70">
        <v>0.533333333333333</v>
      </c>
      <c r="E32" s="70">
        <v>0.865</v>
      </c>
      <c r="F32" s="70">
        <v>0.4</v>
      </c>
      <c r="G32" s="124">
        <v>0.945</v>
      </c>
      <c r="H32" s="124">
        <v>0.64516129032258</v>
      </c>
      <c r="I32" s="70">
        <v>0.93</v>
      </c>
      <c r="J32" s="71">
        <v>0.5625</v>
      </c>
      <c r="K32" s="24">
        <v>0.95</v>
      </c>
      <c r="L32" s="24">
        <v>0.583333333333333</v>
      </c>
      <c r="N32" s="5"/>
      <c r="O32" s="5" t="s">
        <v>6</v>
      </c>
      <c r="P32" s="124">
        <v>0.94</v>
      </c>
      <c r="Q32" s="124">
        <v>0.571428571428571</v>
      </c>
      <c r="R32" s="70">
        <v>0.875</v>
      </c>
      <c r="S32" s="70">
        <v>0.41860465116279</v>
      </c>
      <c r="T32" s="160">
        <v>0.945</v>
      </c>
      <c r="U32" s="160">
        <v>0.64516129032258</v>
      </c>
      <c r="V32" s="70">
        <v>0.935</v>
      </c>
      <c r="W32" s="71">
        <v>0.580645161290322</v>
      </c>
      <c r="X32" s="24">
        <v>0.945</v>
      </c>
      <c r="Y32" s="24">
        <v>0.592592592592592</v>
      </c>
      <c r="Z32" s="118"/>
      <c r="AA32"/>
      <c r="AB32"/>
      <c r="AC32"/>
      <c r="AD32"/>
    </row>
    <row r="33" spans="1:30">
      <c r="A33" s="5"/>
      <c r="B33" s="5" t="s">
        <v>7</v>
      </c>
      <c r="C33" s="70">
        <v>0.835</v>
      </c>
      <c r="D33" s="70">
        <v>0.440677966101694</v>
      </c>
      <c r="E33" s="70">
        <v>0.89</v>
      </c>
      <c r="F33" s="70">
        <v>0.521739130434782</v>
      </c>
      <c r="G33" s="124">
        <v>0.845</v>
      </c>
      <c r="H33" s="124">
        <v>0.47457627118644</v>
      </c>
      <c r="I33" s="70">
        <v>0.86</v>
      </c>
      <c r="J33" s="71">
        <v>0.481481481481481</v>
      </c>
      <c r="K33" s="24">
        <v>0.905</v>
      </c>
      <c r="L33" s="24">
        <v>0.457142857142857</v>
      </c>
      <c r="N33" s="5"/>
      <c r="O33" s="5" t="s">
        <v>7</v>
      </c>
      <c r="P33" s="124">
        <v>0.845</v>
      </c>
      <c r="Q33" s="124">
        <v>0.436363636363636</v>
      </c>
      <c r="R33" s="70">
        <v>0.89</v>
      </c>
      <c r="S33" s="70">
        <v>0.5</v>
      </c>
      <c r="T33" s="160">
        <v>0.85</v>
      </c>
      <c r="U33" s="160">
        <v>0.464285714285714</v>
      </c>
      <c r="V33" s="70">
        <v>0.875</v>
      </c>
      <c r="W33" s="71">
        <v>0.489795918367346</v>
      </c>
      <c r="X33" s="24">
        <v>0.925</v>
      </c>
      <c r="Y33" s="24">
        <v>0.482758620689655</v>
      </c>
      <c r="AA33"/>
      <c r="AB33"/>
      <c r="AC33"/>
      <c r="AD33"/>
    </row>
    <row r="34" spans="1:30">
      <c r="A34" s="5"/>
      <c r="B34" s="6" t="s">
        <v>8</v>
      </c>
      <c r="C34" s="73">
        <v>0.9</v>
      </c>
      <c r="D34" s="73">
        <v>0.729729729729729</v>
      </c>
      <c r="E34" s="73">
        <v>0.875</v>
      </c>
      <c r="F34" s="73">
        <v>0.712643678160919</v>
      </c>
      <c r="G34" s="124">
        <v>0.87</v>
      </c>
      <c r="H34" s="124">
        <v>0.697674418604651</v>
      </c>
      <c r="I34" s="73">
        <v>0.91</v>
      </c>
      <c r="J34" s="74">
        <v>0.763157894736842</v>
      </c>
      <c r="K34" s="26">
        <v>0.94</v>
      </c>
      <c r="L34" s="26">
        <v>0.837837837837837</v>
      </c>
      <c r="N34" s="5"/>
      <c r="O34" s="6" t="s">
        <v>8</v>
      </c>
      <c r="P34" s="124">
        <v>0.9</v>
      </c>
      <c r="Q34" s="124">
        <v>0.722222222222222</v>
      </c>
      <c r="R34" s="73">
        <v>0.875</v>
      </c>
      <c r="S34" s="73">
        <v>0.712643678160919</v>
      </c>
      <c r="T34" s="160">
        <v>0.875</v>
      </c>
      <c r="U34" s="160">
        <v>0.698795180722891</v>
      </c>
      <c r="V34" s="73">
        <v>0.91</v>
      </c>
      <c r="W34" s="74">
        <v>0.763157894736842</v>
      </c>
      <c r="X34" s="26">
        <v>0.93</v>
      </c>
      <c r="Y34" s="26">
        <v>0.787878787878787</v>
      </c>
      <c r="AA34"/>
      <c r="AB34"/>
      <c r="AC34"/>
      <c r="AD34"/>
    </row>
    <row r="35" spans="1:30">
      <c r="A35" s="6"/>
      <c r="B35" s="6" t="s">
        <v>31</v>
      </c>
      <c r="C35" s="73">
        <f>AVERAGE(C31:C34)</f>
        <v>0.91125</v>
      </c>
      <c r="D35" s="73">
        <f>AVERAGE(D31:D34)</f>
        <v>0.648157479513411</v>
      </c>
      <c r="E35" s="73">
        <f>AVERAGE(E31:E34)</f>
        <v>0.90375</v>
      </c>
      <c r="F35" s="73">
        <f>AVERAGE(F31:F34)</f>
        <v>0.637167130720354</v>
      </c>
      <c r="G35" s="75">
        <f>AVERAGE(G31:G34)</f>
        <v>0.91125</v>
      </c>
      <c r="H35" s="75">
        <f>AVERAGE(H31:H34)</f>
        <v>0.682924423599846</v>
      </c>
      <c r="I35" s="77">
        <f>AVERAGE(I31:I34)</f>
        <v>0.92125</v>
      </c>
      <c r="J35" s="77">
        <f>AVERAGE(J31:J34)</f>
        <v>0.680356272626009</v>
      </c>
      <c r="K35" s="141">
        <f>AVERAGE(K31:K34)</f>
        <v>0.94375</v>
      </c>
      <c r="L35" s="73">
        <f>AVERAGE(L31:L34)</f>
        <v>0.688328507078507</v>
      </c>
      <c r="N35" s="6"/>
      <c r="O35" s="6" t="s">
        <v>31</v>
      </c>
      <c r="P35" s="75">
        <f>AVERAGE(P31:P34)</f>
        <v>0.9175</v>
      </c>
      <c r="Q35" s="75">
        <f>AVERAGE(Q31:Q34)</f>
        <v>0.661075036075036</v>
      </c>
      <c r="R35" s="75">
        <f>AVERAGE(R31:R34)</f>
        <v>0.90625</v>
      </c>
      <c r="S35" s="75">
        <f>AVERAGE(S31:S34)</f>
        <v>0.636383510902356</v>
      </c>
      <c r="T35" s="75">
        <f>AVERAGE(T31:T34)</f>
        <v>0.91375</v>
      </c>
      <c r="U35" s="75">
        <f>AVERAGE(U31:U34)</f>
        <v>0.680631974904225</v>
      </c>
      <c r="V35" s="77">
        <f>AVERAGE(V31:V34)</f>
        <v>0.9275</v>
      </c>
      <c r="W35" s="161">
        <f>AVERAGE(W31:W34)</f>
        <v>0.693693861245686</v>
      </c>
      <c r="X35" s="75">
        <f>AVERAGE(X31:X34)</f>
        <v>0.94875</v>
      </c>
      <c r="Y35" s="75">
        <f>AVERAGE(Y31:Y34)</f>
        <v>0.708664643147401</v>
      </c>
      <c r="AA35"/>
      <c r="AB35"/>
      <c r="AC35"/>
      <c r="AD35"/>
    </row>
    <row r="36" ht="15" spans="1:28">
      <c r="A36" s="5" t="s">
        <v>33</v>
      </c>
      <c r="B36" s="5" t="s">
        <v>9</v>
      </c>
      <c r="C36" s="70">
        <v>0.935</v>
      </c>
      <c r="D36" s="70">
        <v>0.628571428571428</v>
      </c>
      <c r="E36" s="70">
        <v>0.77</v>
      </c>
      <c r="F36" s="70">
        <v>0.303030303030303</v>
      </c>
      <c r="G36" s="124">
        <v>0.9</v>
      </c>
      <c r="H36" s="124">
        <v>0.545454545454545</v>
      </c>
      <c r="I36" s="70">
        <v>0.93</v>
      </c>
      <c r="J36" s="71">
        <v>0.631578947368421</v>
      </c>
      <c r="K36" s="24">
        <v>0.965</v>
      </c>
      <c r="L36" s="24">
        <v>0.631578947368421</v>
      </c>
      <c r="N36" s="5" t="s">
        <v>33</v>
      </c>
      <c r="O36" s="5" t="s">
        <v>9</v>
      </c>
      <c r="P36" s="124">
        <v>0.945</v>
      </c>
      <c r="Q36" s="124">
        <v>0.666666666666666</v>
      </c>
      <c r="R36" s="70">
        <v>0.8</v>
      </c>
      <c r="S36" s="70">
        <v>0.333333333333333</v>
      </c>
      <c r="T36" s="160">
        <v>0.915</v>
      </c>
      <c r="U36" s="160">
        <v>0.585365853658536</v>
      </c>
      <c r="V36" s="70">
        <v>0.95</v>
      </c>
      <c r="W36" s="71">
        <v>0.705882352941176</v>
      </c>
      <c r="X36" s="24">
        <v>0.94</v>
      </c>
      <c r="Y36" s="24">
        <v>0.538461538461538</v>
      </c>
      <c r="Z36" s="118"/>
      <c r="AA36" s="169"/>
      <c r="AB36" s="169"/>
    </row>
    <row r="37" spans="1:25">
      <c r="A37" s="5"/>
      <c r="B37" s="5" t="s">
        <v>10</v>
      </c>
      <c r="C37" s="70">
        <v>0.885</v>
      </c>
      <c r="D37" s="70">
        <v>0.716049382716049</v>
      </c>
      <c r="E37" s="70">
        <v>0.715</v>
      </c>
      <c r="F37" s="70">
        <v>0.504347826086956</v>
      </c>
      <c r="G37" s="124">
        <v>0.825</v>
      </c>
      <c r="H37" s="124">
        <v>0.639175257731958</v>
      </c>
      <c r="I37" s="70">
        <v>0.815</v>
      </c>
      <c r="J37" s="71">
        <v>0.633663366336633</v>
      </c>
      <c r="K37" s="24">
        <v>0.91</v>
      </c>
      <c r="L37" s="24">
        <v>0.742857142857142</v>
      </c>
      <c r="N37" s="5"/>
      <c r="O37" s="5" t="s">
        <v>10</v>
      </c>
      <c r="P37" s="124">
        <v>0.89</v>
      </c>
      <c r="Q37" s="124">
        <v>0.710526315789473</v>
      </c>
      <c r="R37" s="70">
        <v>0.74</v>
      </c>
      <c r="S37" s="70">
        <v>0.527272727272727</v>
      </c>
      <c r="T37" s="160">
        <v>0.83</v>
      </c>
      <c r="U37" s="160">
        <v>0.645833333333333</v>
      </c>
      <c r="V37" s="70">
        <v>0.825</v>
      </c>
      <c r="W37" s="71">
        <v>0.646464646464646</v>
      </c>
      <c r="X37" s="24">
        <v>0.91</v>
      </c>
      <c r="Y37" s="24">
        <v>0.75</v>
      </c>
    </row>
    <row r="38" spans="1:25">
      <c r="A38" s="5"/>
      <c r="B38" s="5" t="s">
        <v>11</v>
      </c>
      <c r="C38" s="70">
        <v>0.99</v>
      </c>
      <c r="D38" s="70">
        <v>0.909090909090909</v>
      </c>
      <c r="E38" s="70">
        <v>0.935</v>
      </c>
      <c r="F38" s="70">
        <v>0.628571428571428</v>
      </c>
      <c r="G38" s="124">
        <v>0.96</v>
      </c>
      <c r="H38" s="124">
        <v>0.714285714285714</v>
      </c>
      <c r="I38" s="70">
        <v>0.985</v>
      </c>
      <c r="J38" s="71">
        <v>0.869565217391304</v>
      </c>
      <c r="K38" s="24">
        <v>0.97</v>
      </c>
      <c r="L38" s="24">
        <v>0.727272727272727</v>
      </c>
      <c r="N38" s="5"/>
      <c r="O38" s="5" t="s">
        <v>11</v>
      </c>
      <c r="P38" s="124">
        <v>0.99</v>
      </c>
      <c r="Q38" s="124">
        <v>0.909090909090909</v>
      </c>
      <c r="R38" s="70">
        <v>0.94</v>
      </c>
      <c r="S38" s="70">
        <v>0.647058823529411</v>
      </c>
      <c r="T38" s="160">
        <v>0.96</v>
      </c>
      <c r="U38" s="160">
        <v>0.714285714285714</v>
      </c>
      <c r="V38" s="70">
        <v>0.99</v>
      </c>
      <c r="W38" s="71">
        <v>0.909090909090909</v>
      </c>
      <c r="X38" s="24">
        <v>0.975</v>
      </c>
      <c r="Y38" s="24">
        <v>0.736842105263157</v>
      </c>
    </row>
    <row r="39" spans="1:25">
      <c r="A39" s="5"/>
      <c r="B39" s="6" t="s">
        <v>12</v>
      </c>
      <c r="C39" s="73">
        <v>0.935</v>
      </c>
      <c r="D39" s="73">
        <v>0.518518518518518</v>
      </c>
      <c r="E39" s="73">
        <v>0.805</v>
      </c>
      <c r="F39" s="73">
        <v>0.360655737704918</v>
      </c>
      <c r="G39" s="125">
        <v>0.9</v>
      </c>
      <c r="H39" s="125">
        <v>0.523809523809523</v>
      </c>
      <c r="I39" s="73">
        <v>0.93</v>
      </c>
      <c r="J39" s="74">
        <v>0.5625</v>
      </c>
      <c r="K39" s="26">
        <v>0.885</v>
      </c>
      <c r="L39" s="26">
        <v>0.465116279069767</v>
      </c>
      <c r="N39" s="5"/>
      <c r="O39" s="6" t="s">
        <v>12</v>
      </c>
      <c r="P39" s="125">
        <v>0.935</v>
      </c>
      <c r="Q39" s="125">
        <v>0.518518518518518</v>
      </c>
      <c r="R39" s="73">
        <v>0.85</v>
      </c>
      <c r="S39" s="73">
        <v>0.4</v>
      </c>
      <c r="T39" s="160">
        <v>0.91</v>
      </c>
      <c r="U39" s="160">
        <v>0.526315789473684</v>
      </c>
      <c r="V39" s="73">
        <v>0.93</v>
      </c>
      <c r="W39" s="74">
        <v>0.533333333333333</v>
      </c>
      <c r="X39" s="81">
        <v>0.92</v>
      </c>
      <c r="Y39" s="81">
        <v>0.619047619047619</v>
      </c>
    </row>
    <row r="40" spans="1:25">
      <c r="A40" s="5"/>
      <c r="B40" s="5" t="s">
        <v>31</v>
      </c>
      <c r="C40" s="110">
        <f>AVERAGE(C36:C39)</f>
        <v>0.93625</v>
      </c>
      <c r="D40" s="110">
        <f t="shared" ref="D40:L40" si="6">AVERAGE(D36:D39)</f>
        <v>0.693057559724226</v>
      </c>
      <c r="E40" s="70">
        <f t="shared" si="6"/>
        <v>0.80625</v>
      </c>
      <c r="F40" s="70">
        <f t="shared" si="6"/>
        <v>0.449151323848401</v>
      </c>
      <c r="G40" s="78">
        <f t="shared" si="6"/>
        <v>0.89625</v>
      </c>
      <c r="H40" s="78">
        <f t="shared" si="6"/>
        <v>0.605681260320435</v>
      </c>
      <c r="I40" s="70">
        <f t="shared" si="6"/>
        <v>0.915</v>
      </c>
      <c r="J40" s="74">
        <f t="shared" si="6"/>
        <v>0.67432688277409</v>
      </c>
      <c r="K40" s="73">
        <f t="shared" si="6"/>
        <v>0.9325</v>
      </c>
      <c r="L40" s="73">
        <f t="shared" si="6"/>
        <v>0.641706274142014</v>
      </c>
      <c r="N40" s="5"/>
      <c r="O40" s="5" t="s">
        <v>31</v>
      </c>
      <c r="P40" s="80">
        <f>AVERAGE(P36:P39)</f>
        <v>0.94</v>
      </c>
      <c r="Q40" s="78">
        <f>AVERAGE(Q36:Q39)</f>
        <v>0.701200602516391</v>
      </c>
      <c r="R40" s="78">
        <f>AVERAGE(R36:R39)</f>
        <v>0.8325</v>
      </c>
      <c r="S40" s="78">
        <f>AVERAGE(S36:S39)</f>
        <v>0.476916221033868</v>
      </c>
      <c r="T40" s="78">
        <f>AVERAGE(T36:T39)</f>
        <v>0.90375</v>
      </c>
      <c r="U40" s="78">
        <f>AVERAGE(U36:U39)</f>
        <v>0.617950172687817</v>
      </c>
      <c r="V40" s="78">
        <f>AVERAGE(V36:V39)</f>
        <v>0.92375</v>
      </c>
      <c r="W40" s="79">
        <f>AVERAGE(W36:W39)</f>
        <v>0.698692810457516</v>
      </c>
      <c r="X40" s="75">
        <f>AVERAGE(X36:X39)</f>
        <v>0.93625</v>
      </c>
      <c r="Y40" s="75">
        <f>AVERAGE(Y36:Y39)</f>
        <v>0.661087815693079</v>
      </c>
    </row>
    <row r="41" ht="14.85" spans="1:25">
      <c r="A41" s="82" t="s">
        <v>34</v>
      </c>
      <c r="B41" s="82"/>
      <c r="C41" s="126">
        <v>0.27</v>
      </c>
      <c r="D41" s="126">
        <v>0.6575</v>
      </c>
      <c r="E41" s="126">
        <v>0.105</v>
      </c>
      <c r="F41" s="126">
        <v>0.5677</v>
      </c>
      <c r="G41" s="127">
        <v>0.285</v>
      </c>
      <c r="H41" s="126">
        <v>0.657</v>
      </c>
      <c r="I41" s="83">
        <v>0.28</v>
      </c>
      <c r="J41" s="142">
        <v>0.6702</v>
      </c>
      <c r="K41" s="143">
        <v>0.47</v>
      </c>
      <c r="L41" s="143">
        <v>0.7346</v>
      </c>
      <c r="N41" s="82" t="s">
        <v>34</v>
      </c>
      <c r="O41" s="82"/>
      <c r="P41" s="126">
        <v>0.285</v>
      </c>
      <c r="Q41" s="126">
        <v>0.657</v>
      </c>
      <c r="R41" s="126">
        <v>0.125</v>
      </c>
      <c r="S41" s="126">
        <v>0.5771</v>
      </c>
      <c r="T41" s="162">
        <v>0.295</v>
      </c>
      <c r="U41" s="163">
        <v>0.6648</v>
      </c>
      <c r="V41" s="83">
        <v>0.28</v>
      </c>
      <c r="W41" s="164">
        <v>0.6702</v>
      </c>
      <c r="X41" s="100">
        <v>0.47</v>
      </c>
      <c r="Y41" s="100">
        <v>0.7346</v>
      </c>
    </row>
    <row r="42" spans="20:21">
      <c r="T42" s="165"/>
      <c r="U42" s="146"/>
    </row>
    <row r="43" spans="14:18">
      <c r="N43" s="144"/>
      <c r="O43" s="144"/>
      <c r="P43" s="145"/>
      <c r="Q43" s="145"/>
      <c r="R43" s="145"/>
    </row>
    <row r="44" spans="14:18">
      <c r="N44" s="144"/>
      <c r="O44" s="144"/>
      <c r="P44" s="145"/>
      <c r="Q44" s="145"/>
      <c r="R44" s="145"/>
    </row>
    <row r="45" spans="14:20">
      <c r="N45" s="146"/>
      <c r="O45" s="146"/>
      <c r="P45" s="145"/>
      <c r="Q45" s="145"/>
      <c r="R45" s="145"/>
      <c r="S45" s="166"/>
      <c r="T45" s="144"/>
    </row>
    <row r="46" spans="14:20">
      <c r="N46" s="146"/>
      <c r="O46" s="146"/>
      <c r="P46" s="144"/>
      <c r="Q46" s="166"/>
      <c r="R46" s="144"/>
      <c r="S46" s="147"/>
      <c r="T46" s="146"/>
    </row>
    <row r="47" spans="19:20">
      <c r="S47" s="147"/>
      <c r="T47" s="146"/>
    </row>
    <row r="48" spans="15:16">
      <c r="O48" s="144"/>
      <c r="P48" s="144"/>
    </row>
    <row r="49" spans="14:16">
      <c r="N49" s="147"/>
      <c r="O49" s="146"/>
      <c r="P49" s="146"/>
    </row>
    <row r="50" spans="14:16">
      <c r="N50" s="144"/>
      <c r="O50" s="146"/>
      <c r="P50" s="146"/>
    </row>
    <row r="51" spans="14:14">
      <c r="N51" s="144"/>
    </row>
    <row r="52" spans="14:15">
      <c r="N52" s="145"/>
      <c r="O52" s="145"/>
    </row>
    <row r="57" spans="15:16">
      <c r="O57" s="146"/>
      <c r="P57" s="146"/>
    </row>
    <row r="58" spans="15:16">
      <c r="O58" s="146"/>
      <c r="P58" s="146"/>
    </row>
    <row r="62" spans="18:19">
      <c r="R62" s="145"/>
      <c r="S62" s="145"/>
    </row>
    <row r="63" spans="18:19">
      <c r="R63" s="145"/>
      <c r="S63" s="145"/>
    </row>
    <row r="64" spans="11:12">
      <c r="K64" s="118"/>
      <c r="L64" s="118"/>
    </row>
  </sheetData>
  <mergeCells count="48">
    <mergeCell ref="A1:L1"/>
    <mergeCell ref="N1:Y1"/>
    <mergeCell ref="C2:F2"/>
    <mergeCell ref="P2:S2"/>
    <mergeCell ref="C3:D3"/>
    <mergeCell ref="E3:F3"/>
    <mergeCell ref="P3:Q3"/>
    <mergeCell ref="R3:S3"/>
    <mergeCell ref="A22:L22"/>
    <mergeCell ref="N22:Y22"/>
    <mergeCell ref="C23:F23"/>
    <mergeCell ref="P23:S23"/>
    <mergeCell ref="C24:D24"/>
    <mergeCell ref="E24:F24"/>
    <mergeCell ref="P24:Q24"/>
    <mergeCell ref="R24:S24"/>
    <mergeCell ref="A2:A4"/>
    <mergeCell ref="A5:A9"/>
    <mergeCell ref="A10:A14"/>
    <mergeCell ref="A15:A19"/>
    <mergeCell ref="A23:A25"/>
    <mergeCell ref="A26:A30"/>
    <mergeCell ref="A31:A35"/>
    <mergeCell ref="A36:A40"/>
    <mergeCell ref="B2:B4"/>
    <mergeCell ref="B23:B25"/>
    <mergeCell ref="N2:N4"/>
    <mergeCell ref="N5:N9"/>
    <mergeCell ref="N10:N14"/>
    <mergeCell ref="N15:N19"/>
    <mergeCell ref="N23:N25"/>
    <mergeCell ref="N26:N30"/>
    <mergeCell ref="N31:N35"/>
    <mergeCell ref="N36:N40"/>
    <mergeCell ref="O2:O4"/>
    <mergeCell ref="O23:O25"/>
    <mergeCell ref="G2:H3"/>
    <mergeCell ref="I2:J3"/>
    <mergeCell ref="K2:L3"/>
    <mergeCell ref="G23:H24"/>
    <mergeCell ref="I23:J24"/>
    <mergeCell ref="K23:L24"/>
    <mergeCell ref="T23:U24"/>
    <mergeCell ref="V23:W24"/>
    <mergeCell ref="X23:Y24"/>
    <mergeCell ref="T2:U3"/>
    <mergeCell ref="V2:W3"/>
    <mergeCell ref="X2:Y3"/>
  </mergeCells>
  <pageMargins left="0.75" right="0.75" top="1" bottom="1" header="0.5" footer="0.5"/>
  <headerFooter/>
  <ignoredErrors>
    <ignoredError sqref="G19:J1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zoomScale="85" zoomScaleNormal="85" workbookViewId="0">
      <selection activeCell="K33" sqref="K33"/>
    </sheetView>
  </sheetViews>
  <sheetFormatPr defaultColWidth="8.72972972972973" defaultRowHeight="14.1"/>
  <cols>
    <col min="2" max="3" width="17.3243243243243"/>
    <col min="4" max="4" width="18.8378378378378"/>
    <col min="5" max="13" width="17.3243243243243"/>
  </cols>
  <sheetData>
    <row r="1" spans="1:13">
      <c r="A1" s="112" t="s">
        <v>35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</row>
    <row r="2" spans="1:13">
      <c r="A2" s="113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ht="27.45" spans="1:13">
      <c r="A3" s="114" t="s">
        <v>37</v>
      </c>
      <c r="B3" s="115">
        <v>0.235872067175878</v>
      </c>
      <c r="C3" s="115">
        <v>0.104599897254724</v>
      </c>
      <c r="D3" s="116">
        <v>0.506958494806197</v>
      </c>
      <c r="E3" s="115">
        <v>0.604893056235276</v>
      </c>
      <c r="F3" s="115">
        <v>0.104355620063725</v>
      </c>
      <c r="G3" s="115">
        <v>0.14706485716172</v>
      </c>
      <c r="H3" s="115">
        <v>0.16043556802097</v>
      </c>
      <c r="I3" s="115">
        <v>0.22025504138344</v>
      </c>
      <c r="J3" s="115">
        <v>0.308688216038572</v>
      </c>
      <c r="K3" s="115">
        <v>0.439550959169748</v>
      </c>
      <c r="L3" s="115">
        <v>0.122575520066399</v>
      </c>
      <c r="M3" s="115">
        <v>0.123019980226207</v>
      </c>
    </row>
    <row r="4" spans="1:13">
      <c r="A4" s="117" t="s">
        <v>38</v>
      </c>
      <c r="B4" s="115">
        <v>0.211545559383143</v>
      </c>
      <c r="C4" s="115">
        <v>0.0871615304050501</v>
      </c>
      <c r="D4" s="115">
        <v>0.342693691412918</v>
      </c>
      <c r="E4" s="115">
        <v>0.693338615872432</v>
      </c>
      <c r="F4" s="115">
        <v>0.227563375853351</v>
      </c>
      <c r="G4" s="115">
        <v>0.145758746628475</v>
      </c>
      <c r="H4" s="115">
        <v>0.20390939476277</v>
      </c>
      <c r="I4" s="115">
        <v>0.146758528145147</v>
      </c>
      <c r="J4" s="115">
        <v>0.289708873991854</v>
      </c>
      <c r="K4" s="115">
        <v>0.305682075339253</v>
      </c>
      <c r="L4" s="115">
        <v>0.139279387722723</v>
      </c>
      <c r="M4" s="115">
        <v>0.10949411802832</v>
      </c>
    </row>
    <row r="5" spans="1:13">
      <c r="A5" s="117" t="s">
        <v>39</v>
      </c>
      <c r="B5" s="115">
        <v>0.261597473718517</v>
      </c>
      <c r="C5" s="115">
        <v>0.106453009160934</v>
      </c>
      <c r="D5" s="115">
        <v>0.265705705642642</v>
      </c>
      <c r="E5" s="115">
        <v>0.532815235774731</v>
      </c>
      <c r="F5" s="115">
        <v>0.204157987447921</v>
      </c>
      <c r="G5" s="115">
        <v>0.104406021618634</v>
      </c>
      <c r="H5" s="115">
        <v>0.178333482107526</v>
      </c>
      <c r="I5" s="115">
        <v>0.144749062673654</v>
      </c>
      <c r="J5" s="115">
        <v>0.319912509183632</v>
      </c>
      <c r="K5" s="115">
        <v>0.302595357528888</v>
      </c>
      <c r="L5" s="115">
        <v>0.150155860589817</v>
      </c>
      <c r="M5" s="115">
        <v>0.107481302465312</v>
      </c>
    </row>
    <row r="6" ht="27.45" spans="1:13">
      <c r="A6" s="114" t="s">
        <v>40</v>
      </c>
      <c r="B6" s="115">
        <v>0.22047441161079</v>
      </c>
      <c r="C6" s="115">
        <v>0.0913910067612305</v>
      </c>
      <c r="D6" s="115">
        <v>0.360231420597993</v>
      </c>
      <c r="E6" s="115">
        <v>0.581980861652875</v>
      </c>
      <c r="F6" s="115">
        <v>0.232854519517161</v>
      </c>
      <c r="G6" s="115">
        <v>0.151158993703313</v>
      </c>
      <c r="H6" s="115">
        <v>0.196918780813459</v>
      </c>
      <c r="I6" s="115">
        <v>0.103992328465916</v>
      </c>
      <c r="J6" s="115">
        <v>0.339932269554352</v>
      </c>
      <c r="K6" s="115">
        <v>0.377163924886961</v>
      </c>
      <c r="L6" s="115">
        <v>0.144223240519641</v>
      </c>
      <c r="M6" s="115">
        <v>0.106427100859524</v>
      </c>
    </row>
    <row r="7" spans="1:13">
      <c r="A7" s="117" t="s">
        <v>41</v>
      </c>
      <c r="B7" s="115">
        <v>0.223797613290022</v>
      </c>
      <c r="C7" s="115">
        <v>0.097621757385903</v>
      </c>
      <c r="D7" s="115">
        <v>0.341301736064721</v>
      </c>
      <c r="E7" s="115">
        <v>0.615386918051634</v>
      </c>
      <c r="F7" s="115">
        <v>0.240201041278429</v>
      </c>
      <c r="G7" s="115">
        <v>0.161868869942147</v>
      </c>
      <c r="H7" s="115">
        <v>0.208912119418499</v>
      </c>
      <c r="I7" s="115">
        <v>0.109721849846654</v>
      </c>
      <c r="J7" s="115">
        <v>0.309696668437682</v>
      </c>
      <c r="K7" s="115">
        <v>0.364529989331611</v>
      </c>
      <c r="L7" s="115">
        <v>0.146181505357381</v>
      </c>
      <c r="M7" s="115">
        <v>0.104172625806183</v>
      </c>
    </row>
    <row r="8" spans="1:13">
      <c r="A8" s="117" t="s">
        <v>42</v>
      </c>
      <c r="B8" s="115">
        <v>0.221013288641745</v>
      </c>
      <c r="C8" s="115">
        <v>0.0855089001520537</v>
      </c>
      <c r="D8" s="115">
        <v>0.433702790035866</v>
      </c>
      <c r="E8" s="115">
        <v>0.53711944377562</v>
      </c>
      <c r="F8" s="115">
        <v>0.21171045848832</v>
      </c>
      <c r="G8" s="115">
        <v>0.169904131720483</v>
      </c>
      <c r="H8" s="115">
        <v>0.149027715101562</v>
      </c>
      <c r="I8" s="115">
        <v>0.186546058288077</v>
      </c>
      <c r="J8" s="115">
        <v>0.314502493295266</v>
      </c>
      <c r="K8" s="115">
        <v>0.46419001449697</v>
      </c>
      <c r="L8" s="115">
        <v>0.145094859380391</v>
      </c>
      <c r="M8" s="115">
        <v>0.142545056479401</v>
      </c>
    </row>
    <row r="9" spans="1:13">
      <c r="A9" t="s">
        <v>43</v>
      </c>
      <c r="B9" s="115">
        <v>0.233084474895586</v>
      </c>
      <c r="C9" s="115">
        <v>0.0914316628850065</v>
      </c>
      <c r="D9" s="115">
        <v>0.383037143115071</v>
      </c>
      <c r="E9" s="115">
        <v>0.595954341667937</v>
      </c>
      <c r="F9" s="115">
        <v>0.302362913323333</v>
      </c>
      <c r="G9" s="115">
        <v>0.161656788777094</v>
      </c>
      <c r="H9" s="115">
        <v>0.199477957811672</v>
      </c>
      <c r="I9" s="115">
        <v>0.116026469556266</v>
      </c>
      <c r="J9" s="115">
        <v>0.316461485888343</v>
      </c>
      <c r="K9" s="115">
        <v>0.410619921393663</v>
      </c>
      <c r="L9" s="115">
        <v>0.130988273858093</v>
      </c>
      <c r="M9" s="115">
        <v>0.10944664267874</v>
      </c>
    </row>
    <row r="10" spans="1:13">
      <c r="A10" t="s">
        <v>44</v>
      </c>
      <c r="B10" s="115">
        <v>0.22677384523541</v>
      </c>
      <c r="C10" s="115">
        <v>0.0907560689318925</v>
      </c>
      <c r="D10" s="115">
        <v>0.308948334411252</v>
      </c>
      <c r="E10" s="115">
        <v>0.523520331015112</v>
      </c>
      <c r="F10" s="115">
        <v>0.307083482756279</v>
      </c>
      <c r="G10" s="115">
        <v>0.145256905757822</v>
      </c>
      <c r="H10" s="115">
        <v>0.160661643719184</v>
      </c>
      <c r="I10" s="115">
        <v>0.115876927737845</v>
      </c>
      <c r="J10" s="115">
        <v>0.244814299115562</v>
      </c>
      <c r="K10" s="115">
        <v>0.447705418723752</v>
      </c>
      <c r="L10" s="115">
        <v>0.120679970758967</v>
      </c>
      <c r="M10" s="115">
        <v>0.0892208639902528</v>
      </c>
    </row>
    <row r="11" spans="1:13">
      <c r="A11" s="112" t="s">
        <v>18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</row>
    <row r="12" spans="1:13">
      <c r="A12" s="113"/>
      <c r="B12" s="5" t="s">
        <v>1</v>
      </c>
      <c r="C12" s="5" t="s">
        <v>2</v>
      </c>
      <c r="D12" s="5" t="s">
        <v>3</v>
      </c>
      <c r="E12" s="5" t="s">
        <v>4</v>
      </c>
      <c r="F12" s="5" t="s">
        <v>5</v>
      </c>
      <c r="G12" s="5" t="s">
        <v>6</v>
      </c>
      <c r="H12" s="5" t="s">
        <v>7</v>
      </c>
      <c r="I12" s="5" t="s">
        <v>8</v>
      </c>
      <c r="J12" s="5" t="s">
        <v>9</v>
      </c>
      <c r="K12" s="5" t="s">
        <v>10</v>
      </c>
      <c r="L12" s="5" t="s">
        <v>11</v>
      </c>
      <c r="M12" s="5" t="s">
        <v>12</v>
      </c>
    </row>
    <row r="13" ht="27.45" spans="1:13">
      <c r="A13" s="114" t="s">
        <v>37</v>
      </c>
      <c r="B13" s="115">
        <v>0.222534013823062</v>
      </c>
      <c r="C13" s="115">
        <v>0.147477106538252</v>
      </c>
      <c r="D13" s="116">
        <v>0.527540136871859</v>
      </c>
      <c r="E13" s="115">
        <v>0.555607507345732</v>
      </c>
      <c r="F13" s="115">
        <v>0.292909756828099</v>
      </c>
      <c r="G13" s="115">
        <v>0.0847727618589415</v>
      </c>
      <c r="H13" s="115">
        <v>0.166844259469057</v>
      </c>
      <c r="I13" s="115">
        <v>0.14357490319809</v>
      </c>
      <c r="J13" s="115">
        <v>0.224241789635387</v>
      </c>
      <c r="K13" s="115">
        <v>0.495577475281374</v>
      </c>
      <c r="L13" s="115">
        <v>0.065109385425254</v>
      </c>
      <c r="M13" s="115">
        <v>0.147144034651719</v>
      </c>
    </row>
    <row r="14" spans="1:13">
      <c r="A14" s="117" t="s">
        <v>38</v>
      </c>
      <c r="B14" s="115">
        <v>0.108448296040361</v>
      </c>
      <c r="C14" s="115">
        <v>0.118963693494094</v>
      </c>
      <c r="D14" s="115">
        <v>0.42556308190152</v>
      </c>
      <c r="E14" s="115">
        <v>0.551173587333411</v>
      </c>
      <c r="F14" s="115">
        <v>0.256235483120196</v>
      </c>
      <c r="G14" s="115">
        <v>0.168448609267594</v>
      </c>
      <c r="H14" s="115">
        <v>0.122212560311236</v>
      </c>
      <c r="I14" s="115">
        <v>0.145661100165191</v>
      </c>
      <c r="J14" s="115">
        <v>0.114433716928725</v>
      </c>
      <c r="K14" s="115">
        <v>0.553465858780779</v>
      </c>
      <c r="L14" s="115">
        <v>0.0383317671465775</v>
      </c>
      <c r="M14" s="115">
        <v>0.180677937037544</v>
      </c>
    </row>
    <row r="15" spans="1:13">
      <c r="A15" s="117" t="s">
        <v>39</v>
      </c>
      <c r="B15" s="115">
        <v>0.121545306869818</v>
      </c>
      <c r="C15" s="115">
        <v>0.133813025943353</v>
      </c>
      <c r="D15" s="115">
        <v>0.380466471174732</v>
      </c>
      <c r="E15" s="115">
        <v>0.520279915514868</v>
      </c>
      <c r="F15" s="115">
        <v>0.241782886307687</v>
      </c>
      <c r="G15" s="115">
        <v>0.130331478786189</v>
      </c>
      <c r="H15" s="115">
        <v>0.112130165112321</v>
      </c>
      <c r="I15" s="115">
        <v>0.126235815585504</v>
      </c>
      <c r="J15" s="115">
        <v>0.175286172509775</v>
      </c>
      <c r="K15" s="115">
        <v>0.61959640929848</v>
      </c>
      <c r="L15" s="115">
        <v>0.0395771596083068</v>
      </c>
      <c r="M15" s="115">
        <v>0.208251767400769</v>
      </c>
    </row>
    <row r="16" ht="27.45" spans="1:13">
      <c r="A16" s="114" t="s">
        <v>40</v>
      </c>
      <c r="B16" s="115">
        <v>0.127430013336907</v>
      </c>
      <c r="C16" s="115">
        <v>0.123674950624118</v>
      </c>
      <c r="D16" s="115">
        <v>0.453920979942661</v>
      </c>
      <c r="E16" s="115">
        <v>0.544155599156627</v>
      </c>
      <c r="F16" s="115">
        <v>0.325643643238116</v>
      </c>
      <c r="G16" s="115">
        <v>0.096856608093367</v>
      </c>
      <c r="H16" s="115">
        <v>0.115247076444153</v>
      </c>
      <c r="I16" s="115">
        <v>0.113248393790534</v>
      </c>
      <c r="J16" s="115">
        <v>0.163119606392429</v>
      </c>
      <c r="K16" s="115">
        <v>0.584600537001155</v>
      </c>
      <c r="L16" s="115">
        <v>0.0402972282515257</v>
      </c>
      <c r="M16" s="115">
        <v>0.19925642242562</v>
      </c>
    </row>
    <row r="17" spans="1:13">
      <c r="A17" s="117" t="s">
        <v>41</v>
      </c>
      <c r="B17" s="115">
        <v>0.128678312857806</v>
      </c>
      <c r="C17" s="115">
        <v>0.119787442770321</v>
      </c>
      <c r="D17" s="115">
        <v>0.429042499161325</v>
      </c>
      <c r="E17" s="115">
        <v>0.551780863840308</v>
      </c>
      <c r="F17" s="115">
        <v>0.308861852963921</v>
      </c>
      <c r="G17" s="115">
        <v>0.115591716618423</v>
      </c>
      <c r="H17" s="115">
        <v>0.127681914576562</v>
      </c>
      <c r="I17" s="115">
        <v>0.103203723455343</v>
      </c>
      <c r="J17" s="115">
        <v>0.133168985477343</v>
      </c>
      <c r="K17" s="115">
        <v>0.604356587503105</v>
      </c>
      <c r="L17" s="115">
        <v>0.0401195871686214</v>
      </c>
      <c r="M17" s="115">
        <v>0.200217662446899</v>
      </c>
    </row>
    <row r="18" spans="1:13">
      <c r="A18" s="117" t="s">
        <v>42</v>
      </c>
      <c r="B18" s="115">
        <v>0.297754930530108</v>
      </c>
      <c r="C18" s="115">
        <v>0.388817397280496</v>
      </c>
      <c r="D18" s="115">
        <v>0.517158977600688</v>
      </c>
      <c r="E18" s="115">
        <v>0.552288760385731</v>
      </c>
      <c r="F18" s="115">
        <v>0.408117771047963</v>
      </c>
      <c r="G18" s="115">
        <v>0.215499703065526</v>
      </c>
      <c r="H18" s="115">
        <v>0.278047597323708</v>
      </c>
      <c r="I18" s="115">
        <v>0.0665009943013124</v>
      </c>
      <c r="J18" s="115">
        <v>0.136846772697685</v>
      </c>
      <c r="K18" s="115">
        <v>0.462827085985979</v>
      </c>
      <c r="L18" s="115">
        <v>0.275858205025754</v>
      </c>
      <c r="M18" s="115">
        <v>0.320175205867587</v>
      </c>
    </row>
    <row r="19" spans="1:13">
      <c r="A19" t="s">
        <v>43</v>
      </c>
      <c r="B19" s="115">
        <v>0.12806257091177</v>
      </c>
      <c r="C19" s="115">
        <v>0.0916877012555487</v>
      </c>
      <c r="D19" s="115">
        <v>0.473014113759156</v>
      </c>
      <c r="E19" s="115">
        <v>0.475261659171141</v>
      </c>
      <c r="F19" s="115">
        <v>0.263266669091769</v>
      </c>
      <c r="G19" s="115">
        <v>0.139731977786403</v>
      </c>
      <c r="H19" s="115">
        <v>0.115687939392519</v>
      </c>
      <c r="I19" s="115">
        <v>0.0935163145500555</v>
      </c>
      <c r="J19" s="115">
        <v>0.12070709356734</v>
      </c>
      <c r="K19" s="115">
        <v>0.724371404796839</v>
      </c>
      <c r="L19" s="115">
        <v>0.0378738398957939</v>
      </c>
      <c r="M19" s="115">
        <v>0.280619093959802</v>
      </c>
    </row>
    <row r="20" spans="1:13">
      <c r="A20" t="s">
        <v>44</v>
      </c>
      <c r="B20" s="115">
        <v>0.150777748103617</v>
      </c>
      <c r="C20" s="115">
        <v>0.11391990485671</v>
      </c>
      <c r="D20" s="115">
        <v>0.401490079369396</v>
      </c>
      <c r="E20" s="115">
        <v>0.441649193004821</v>
      </c>
      <c r="F20" s="115">
        <v>0.22575379509863</v>
      </c>
      <c r="G20" s="115">
        <v>0.138735870702454</v>
      </c>
      <c r="H20" s="115">
        <v>0.145308209401846</v>
      </c>
      <c r="I20" s="115">
        <v>0.0944228844237841</v>
      </c>
      <c r="J20" s="115">
        <v>0.149906552276578</v>
      </c>
      <c r="K20" s="115">
        <v>0.644485790854</v>
      </c>
      <c r="L20" s="115">
        <v>0.0678114370931726</v>
      </c>
      <c r="M20" s="115">
        <v>0.295779857157249</v>
      </c>
    </row>
  </sheetData>
  <mergeCells count="2">
    <mergeCell ref="A1:M1"/>
    <mergeCell ref="A11:M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1"/>
  <sheetViews>
    <sheetView zoomScale="115" zoomScaleNormal="115" topLeftCell="A23" workbookViewId="0">
      <selection activeCell="G28" sqref="G28"/>
    </sheetView>
  </sheetViews>
  <sheetFormatPr defaultColWidth="8.72972972972973" defaultRowHeight="14.1"/>
  <cols>
    <col min="1" max="1" width="13.8468468468468" customWidth="1"/>
    <col min="2" max="2" width="11.027027027027" customWidth="1"/>
    <col min="3" max="3" width="16.2432432432432"/>
    <col min="4" max="4" width="11.3693693693694" customWidth="1"/>
    <col min="5" max="5" width="24.2792792792793" customWidth="1"/>
    <col min="6" max="6" width="16.3603603603604" customWidth="1"/>
    <col min="7" max="7" width="6.63963963963964" customWidth="1"/>
    <col min="8" max="8" width="10.8018018018018" customWidth="1"/>
    <col min="9" max="9" width="12.1531531531532" customWidth="1"/>
    <col min="10" max="11" width="6.63963963963964" customWidth="1"/>
    <col min="12" max="12" width="11.5405405405405" customWidth="1"/>
    <col min="13" max="13" width="6.63963963963964" customWidth="1"/>
    <col min="14" max="14" width="11.5945945945946" customWidth="1"/>
    <col min="15" max="29" width="6.63963963963964" customWidth="1"/>
    <col min="30" max="43" width="12.8198198198198"/>
  </cols>
  <sheetData>
    <row r="1" spans="1:13">
      <c r="A1" s="52" t="s">
        <v>45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>
      <c r="A2" s="53"/>
      <c r="B2" s="54" t="s">
        <v>1</v>
      </c>
      <c r="C2" s="54" t="s">
        <v>2</v>
      </c>
      <c r="D2" s="54" t="s">
        <v>3</v>
      </c>
      <c r="E2" s="54" t="s">
        <v>4</v>
      </c>
      <c r="F2" s="54" t="s">
        <v>5</v>
      </c>
      <c r="G2" s="54" t="s">
        <v>6</v>
      </c>
      <c r="H2" s="54" t="s">
        <v>7</v>
      </c>
      <c r="I2" s="54" t="s">
        <v>8</v>
      </c>
      <c r="J2" s="54" t="s">
        <v>9</v>
      </c>
      <c r="K2" s="54" t="s">
        <v>10</v>
      </c>
      <c r="L2" s="54" t="s">
        <v>11</v>
      </c>
      <c r="M2" s="54" t="s">
        <v>12</v>
      </c>
    </row>
    <row r="3" spans="1:36">
      <c r="A3" s="55">
        <v>2000</v>
      </c>
      <c r="B3" s="56">
        <v>0.746666666666666</v>
      </c>
      <c r="C3" s="56">
        <v>0.5</v>
      </c>
      <c r="D3" s="56">
        <v>0.702702702702702</v>
      </c>
      <c r="E3" s="56">
        <v>0.662921348314606</v>
      </c>
      <c r="F3" s="56">
        <v>0.914285714285714</v>
      </c>
      <c r="G3" s="56">
        <v>0.580645161290322</v>
      </c>
      <c r="H3" s="56">
        <v>0.51063829787234</v>
      </c>
      <c r="I3" s="56">
        <v>0.773333333333333</v>
      </c>
      <c r="J3" s="56">
        <v>0.705882352941176</v>
      </c>
      <c r="K3" s="56">
        <v>0.666666666666666</v>
      </c>
      <c r="L3" s="56">
        <v>0.952380952380952</v>
      </c>
      <c r="M3" s="56">
        <v>0.64516129032258</v>
      </c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</row>
    <row r="4" spans="1:36">
      <c r="A4" s="57">
        <v>3000</v>
      </c>
      <c r="B4">
        <v>0.72463768115942</v>
      </c>
      <c r="C4">
        <v>0.521739130434782</v>
      </c>
      <c r="D4">
        <v>0.842105263157894</v>
      </c>
      <c r="E4">
        <v>0.734939759036144</v>
      </c>
      <c r="F4">
        <v>0.888888888888888</v>
      </c>
      <c r="G4">
        <v>0.74074074074074</v>
      </c>
      <c r="H4">
        <v>0.521739130434782</v>
      </c>
      <c r="I4">
        <v>0.769230769230769</v>
      </c>
      <c r="J4">
        <v>0.709677419354838</v>
      </c>
      <c r="K4">
        <v>0.746987951807228</v>
      </c>
      <c r="L4">
        <v>0.909090909090909</v>
      </c>
      <c r="M4" s="94">
        <v>0.64516129032258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>
      <c r="A5" s="58" t="s">
        <v>15</v>
      </c>
      <c r="B5" s="59">
        <v>0.703703703703703</v>
      </c>
      <c r="C5" s="60">
        <v>0.352941176470588</v>
      </c>
      <c r="D5" s="61">
        <v>0.805555555555555</v>
      </c>
      <c r="E5" s="61">
        <v>0.736842105263158</v>
      </c>
      <c r="F5" s="60">
        <v>0.866666666666666</v>
      </c>
      <c r="G5" s="60">
        <v>0.555555555555555</v>
      </c>
      <c r="H5" s="60">
        <v>0.48</v>
      </c>
      <c r="I5" s="60">
        <v>0.818181818181818</v>
      </c>
      <c r="J5" s="60">
        <v>0.470588235294117</v>
      </c>
      <c r="K5" s="60">
        <v>0.727272727272727</v>
      </c>
      <c r="L5" s="61">
        <v>0.761904761904762</v>
      </c>
      <c r="M5" s="61">
        <v>0.5</v>
      </c>
      <c r="AC5" s="86"/>
      <c r="AD5" s="86"/>
      <c r="AE5" s="86"/>
      <c r="AF5" s="86"/>
      <c r="AG5" s="86"/>
      <c r="AH5" s="86"/>
      <c r="AI5" s="86"/>
      <c r="AJ5" s="86"/>
    </row>
    <row r="6" ht="14.85" spans="1:36">
      <c r="A6" s="62" t="s">
        <v>46</v>
      </c>
      <c r="B6" s="62"/>
      <c r="C6" s="62"/>
      <c r="D6" s="62"/>
      <c r="E6" s="62"/>
      <c r="G6" s="1" t="s">
        <v>47</v>
      </c>
      <c r="H6" s="1"/>
      <c r="I6" s="1"/>
      <c r="J6" s="1"/>
      <c r="K6" s="1"/>
      <c r="L6" s="1"/>
      <c r="M6" s="1"/>
      <c r="N6" s="1"/>
      <c r="O6" s="1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ht="18" customHeight="1" spans="1:36">
      <c r="A7" s="63" t="s">
        <v>21</v>
      </c>
      <c r="B7" s="64" t="s">
        <v>48</v>
      </c>
      <c r="C7" s="64"/>
      <c r="D7" s="64" t="s">
        <v>49</v>
      </c>
      <c r="E7" s="64"/>
      <c r="G7" s="65" t="s">
        <v>21</v>
      </c>
      <c r="H7" s="66" t="s">
        <v>50</v>
      </c>
      <c r="I7" s="95"/>
      <c r="J7" s="95"/>
      <c r="K7" s="96"/>
      <c r="L7" s="66" t="s">
        <v>25</v>
      </c>
      <c r="M7" s="66"/>
      <c r="N7" s="66"/>
      <c r="O7" s="66"/>
      <c r="Q7" s="108"/>
      <c r="R7" s="106"/>
      <c r="S7" s="106"/>
      <c r="T7" s="106"/>
      <c r="U7" s="106"/>
      <c r="V7" s="106"/>
      <c r="W7" s="106"/>
      <c r="X7" s="106"/>
      <c r="Y7" s="106"/>
      <c r="Z7" s="106"/>
      <c r="AA7" s="109"/>
      <c r="AB7" s="106"/>
      <c r="AC7" s="106"/>
      <c r="AD7" s="106"/>
      <c r="AE7" s="106"/>
      <c r="AF7" s="106"/>
      <c r="AG7" s="109"/>
      <c r="AH7" s="110"/>
      <c r="AI7" s="111"/>
      <c r="AJ7" s="86"/>
    </row>
    <row r="8" ht="14.9" spans="1:36">
      <c r="A8" s="67"/>
      <c r="B8" s="68" t="s">
        <v>28</v>
      </c>
      <c r="C8" s="68" t="s">
        <v>29</v>
      </c>
      <c r="D8" s="68" t="s">
        <v>28</v>
      </c>
      <c r="E8" s="68" t="s">
        <v>29</v>
      </c>
      <c r="G8" s="69"/>
      <c r="H8" s="6" t="s">
        <v>51</v>
      </c>
      <c r="I8" s="6"/>
      <c r="J8" s="6" t="s">
        <v>52</v>
      </c>
      <c r="K8" s="16"/>
      <c r="L8" s="6" t="s">
        <v>51</v>
      </c>
      <c r="M8" s="6"/>
      <c r="N8" s="6" t="s">
        <v>52</v>
      </c>
      <c r="O8" s="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ht="14.85" spans="1:36">
      <c r="A9" s="5" t="s">
        <v>1</v>
      </c>
      <c r="B9" s="70">
        <v>0.885</v>
      </c>
      <c r="C9" s="71">
        <v>0.70886075949367</v>
      </c>
      <c r="D9" s="70">
        <v>0.885</v>
      </c>
      <c r="E9" s="70">
        <v>0.70886075949367</v>
      </c>
      <c r="G9" s="72"/>
      <c r="H9" s="7" t="s">
        <v>28</v>
      </c>
      <c r="I9" s="7" t="s">
        <v>29</v>
      </c>
      <c r="J9" s="7" t="s">
        <v>28</v>
      </c>
      <c r="K9" s="17" t="s">
        <v>29</v>
      </c>
      <c r="L9" s="7" t="s">
        <v>28</v>
      </c>
      <c r="M9" s="7" t="s">
        <v>29</v>
      </c>
      <c r="N9" s="7" t="s">
        <v>28</v>
      </c>
      <c r="O9" s="7" t="s">
        <v>29</v>
      </c>
      <c r="Q9" s="108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</row>
    <row r="10" spans="1:36">
      <c r="A10" s="5" t="s">
        <v>2</v>
      </c>
      <c r="B10" s="70">
        <v>0.945</v>
      </c>
      <c r="C10" s="71">
        <v>0.521739130434782</v>
      </c>
      <c r="D10" s="70">
        <v>0.955</v>
      </c>
      <c r="E10" s="70">
        <v>0.608695652173913</v>
      </c>
      <c r="G10" s="5" t="s">
        <v>1</v>
      </c>
      <c r="H10" s="24">
        <v>0.895</v>
      </c>
      <c r="I10" s="24">
        <v>0.72</v>
      </c>
      <c r="J10" s="24">
        <v>0.885</v>
      </c>
      <c r="K10" s="97">
        <v>0.70886075949367</v>
      </c>
      <c r="L10" s="24">
        <v>0.91</v>
      </c>
      <c r="M10" s="24">
        <v>0.689655172413793</v>
      </c>
      <c r="N10" s="24">
        <v>0.905</v>
      </c>
      <c r="O10" s="24">
        <v>0.707692307692307</v>
      </c>
      <c r="Q10" s="108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>
      <c r="A11" s="5" t="s">
        <v>3</v>
      </c>
      <c r="B11" s="70">
        <v>0.885</v>
      </c>
      <c r="C11" s="71">
        <v>0.693333333333333</v>
      </c>
      <c r="D11" s="70">
        <v>0.915</v>
      </c>
      <c r="E11" s="70">
        <v>0.746268656716418</v>
      </c>
      <c r="G11" s="5" t="s">
        <v>2</v>
      </c>
      <c r="H11" s="24">
        <v>0.94</v>
      </c>
      <c r="I11" s="24">
        <v>0.5</v>
      </c>
      <c r="J11" s="24">
        <v>0.945</v>
      </c>
      <c r="K11" s="97">
        <v>0.521739130434782</v>
      </c>
      <c r="L11" s="24">
        <v>0.955</v>
      </c>
      <c r="M11" s="24">
        <v>0.64</v>
      </c>
      <c r="N11" s="24">
        <v>0.94</v>
      </c>
      <c r="O11" s="24">
        <v>0.625</v>
      </c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</row>
    <row r="12" spans="1:36">
      <c r="A12" s="6" t="s">
        <v>4</v>
      </c>
      <c r="B12" s="73">
        <v>0.705</v>
      </c>
      <c r="C12" s="74">
        <v>0.666666666666666</v>
      </c>
      <c r="D12" s="73">
        <v>0.705</v>
      </c>
      <c r="E12" s="73">
        <v>0.67403314917127</v>
      </c>
      <c r="G12" s="5" t="s">
        <v>3</v>
      </c>
      <c r="H12" s="24">
        <v>0.885</v>
      </c>
      <c r="I12" s="24">
        <v>0.693333333333333</v>
      </c>
      <c r="J12" s="24">
        <v>0.885</v>
      </c>
      <c r="K12" s="97">
        <v>0.693333333333333</v>
      </c>
      <c r="L12" s="24">
        <v>0.9</v>
      </c>
      <c r="M12" s="24">
        <v>0.743589743589743</v>
      </c>
      <c r="N12" s="24">
        <v>0.91</v>
      </c>
      <c r="O12" s="24">
        <v>0.790697674418604</v>
      </c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>
      <c r="A13" s="6" t="s">
        <v>31</v>
      </c>
      <c r="B13" s="75">
        <f>AVERAGE(B9:B12)</f>
        <v>0.855</v>
      </c>
      <c r="C13" s="76">
        <f>AVERAGE(C9:C12)</f>
        <v>0.647649972482113</v>
      </c>
      <c r="D13" s="77">
        <f>AVERAGE(D9:D12)</f>
        <v>0.865</v>
      </c>
      <c r="E13" s="77">
        <f>AVERAGE(E9:E12)</f>
        <v>0.684464554388818</v>
      </c>
      <c r="G13" s="6" t="s">
        <v>4</v>
      </c>
      <c r="H13" s="26">
        <v>0.69</v>
      </c>
      <c r="I13" s="26">
        <v>0.647727272727272</v>
      </c>
      <c r="J13" s="26">
        <v>0.705</v>
      </c>
      <c r="K13" s="98">
        <v>0.666666666666666</v>
      </c>
      <c r="L13" s="26">
        <v>0.85</v>
      </c>
      <c r="M13" s="26">
        <v>0.736842105263157</v>
      </c>
      <c r="N13" s="26">
        <v>0.845</v>
      </c>
      <c r="O13" s="26">
        <v>0.730434782608695</v>
      </c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</row>
    <row r="14" spans="1:36">
      <c r="A14" s="5" t="s">
        <v>5</v>
      </c>
      <c r="B14" s="70">
        <v>0.99</v>
      </c>
      <c r="C14" s="71">
        <v>0.941176470588235</v>
      </c>
      <c r="D14" s="70">
        <v>0.99</v>
      </c>
      <c r="E14" s="70">
        <v>0.9375</v>
      </c>
      <c r="G14" s="6" t="s">
        <v>31</v>
      </c>
      <c r="H14" s="75">
        <f>AVERAGE(H10:H13)</f>
        <v>0.8525</v>
      </c>
      <c r="I14" s="75">
        <f>AVERAGE(I10:I13)</f>
        <v>0.640265151515151</v>
      </c>
      <c r="J14" s="75">
        <f>AVERAGE(J10:J13)</f>
        <v>0.855</v>
      </c>
      <c r="K14" s="76">
        <f>AVERAGE(K10:K13)</f>
        <v>0.647649972482113</v>
      </c>
      <c r="L14" s="75">
        <f>AVERAGE(L10:L13)</f>
        <v>0.90375</v>
      </c>
      <c r="M14" s="75">
        <f>AVERAGE(M10:M13)</f>
        <v>0.702521755316673</v>
      </c>
      <c r="N14" s="75">
        <f>AVERAGE(N10:N13)</f>
        <v>0.9</v>
      </c>
      <c r="O14" s="75">
        <f>AVERAGE(O10:O13)</f>
        <v>0.713456191179901</v>
      </c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15">
      <c r="A15" s="5" t="s">
        <v>6</v>
      </c>
      <c r="B15" s="70">
        <v>0.935</v>
      </c>
      <c r="C15" s="71">
        <v>0.580645161290322</v>
      </c>
      <c r="D15" s="70">
        <v>0.96</v>
      </c>
      <c r="E15" s="70">
        <v>0.733333333333333</v>
      </c>
      <c r="G15" s="5" t="s">
        <v>5</v>
      </c>
      <c r="H15" s="24">
        <v>0.99</v>
      </c>
      <c r="I15" s="24">
        <v>0.941176470588235</v>
      </c>
      <c r="J15" s="24">
        <v>0.99</v>
      </c>
      <c r="K15" s="97">
        <v>0.941176470588235</v>
      </c>
      <c r="L15" s="24">
        <v>0.99</v>
      </c>
      <c r="M15" s="24">
        <v>0.9375</v>
      </c>
      <c r="N15" s="24">
        <v>0.995</v>
      </c>
      <c r="O15" s="24">
        <v>0.971428571428571</v>
      </c>
    </row>
    <row r="16" spans="1:15">
      <c r="A16" s="5" t="s">
        <v>7</v>
      </c>
      <c r="B16" s="70">
        <v>0.875</v>
      </c>
      <c r="C16" s="71">
        <v>0.489795918367346</v>
      </c>
      <c r="D16" s="70">
        <v>0.92</v>
      </c>
      <c r="E16" s="70">
        <v>0.555555555555555</v>
      </c>
      <c r="G16" s="5" t="s">
        <v>6</v>
      </c>
      <c r="H16" s="24">
        <v>0.94</v>
      </c>
      <c r="I16" s="24">
        <v>0.6</v>
      </c>
      <c r="J16" s="24">
        <v>0.935</v>
      </c>
      <c r="K16" s="97">
        <v>0.580645161290322</v>
      </c>
      <c r="L16" s="24">
        <v>0.975</v>
      </c>
      <c r="M16" s="24">
        <v>0.761904761904761</v>
      </c>
      <c r="N16" s="24">
        <v>0.945</v>
      </c>
      <c r="O16" s="24">
        <v>0.592592592592592</v>
      </c>
    </row>
    <row r="17" spans="1:15">
      <c r="A17" s="6" t="s">
        <v>8</v>
      </c>
      <c r="B17" s="73">
        <v>0.91</v>
      </c>
      <c r="C17" s="74">
        <v>0.763157894736842</v>
      </c>
      <c r="D17" s="73">
        <v>0.91</v>
      </c>
      <c r="E17" s="73">
        <v>0.75</v>
      </c>
      <c r="G17" s="5" t="s">
        <v>7</v>
      </c>
      <c r="H17" s="24">
        <v>0.87</v>
      </c>
      <c r="I17" s="24">
        <v>0.48</v>
      </c>
      <c r="J17" s="24">
        <v>0.875</v>
      </c>
      <c r="K17" s="97">
        <v>0.489795918367346</v>
      </c>
      <c r="L17" s="24">
        <v>0.93</v>
      </c>
      <c r="M17" s="24">
        <v>0.461538461538461</v>
      </c>
      <c r="N17" s="24">
        <v>0.925</v>
      </c>
      <c r="O17" s="24">
        <v>0.482758620689655</v>
      </c>
    </row>
    <row r="18" spans="1:23">
      <c r="A18" s="6" t="s">
        <v>31</v>
      </c>
      <c r="B18" s="75">
        <f>AVERAGE(B14:B17)</f>
        <v>0.9275</v>
      </c>
      <c r="C18" s="76">
        <f>AVERAGE(C14:C17)</f>
        <v>0.693693861245686</v>
      </c>
      <c r="D18" s="77">
        <f>AVERAGE(D14:D17)</f>
        <v>0.945</v>
      </c>
      <c r="E18" s="77">
        <f>AVERAGE(E14:E17)</f>
        <v>0.744097222222222</v>
      </c>
      <c r="G18" s="6" t="s">
        <v>8</v>
      </c>
      <c r="H18" s="26">
        <v>0.915</v>
      </c>
      <c r="I18" s="26">
        <v>0.773333333333333</v>
      </c>
      <c r="J18" s="26">
        <v>0.91</v>
      </c>
      <c r="K18" s="98">
        <v>0.763157894736842</v>
      </c>
      <c r="L18" s="26">
        <v>0.92</v>
      </c>
      <c r="M18" s="26">
        <v>0.741935483870967</v>
      </c>
      <c r="N18" s="26">
        <v>0.93</v>
      </c>
      <c r="O18" s="26">
        <v>0.787878787878787</v>
      </c>
      <c r="V18" s="105"/>
      <c r="W18" s="105"/>
    </row>
    <row r="19" spans="1:24">
      <c r="A19" s="5" t="s">
        <v>9</v>
      </c>
      <c r="B19" s="70">
        <v>0.95</v>
      </c>
      <c r="C19" s="71">
        <v>0.705882352941176</v>
      </c>
      <c r="D19" s="70">
        <v>0.95</v>
      </c>
      <c r="E19" s="70">
        <v>0.666666666666666</v>
      </c>
      <c r="G19" s="6" t="s">
        <v>31</v>
      </c>
      <c r="H19" s="75">
        <f>AVERAGE(H15:H18)</f>
        <v>0.92875</v>
      </c>
      <c r="I19" s="75">
        <f>AVERAGE(I15:I18)</f>
        <v>0.698627450980392</v>
      </c>
      <c r="J19" s="75">
        <f>AVERAGE(J15:J18)</f>
        <v>0.9275</v>
      </c>
      <c r="K19" s="76">
        <f>AVERAGE(K15:K18)</f>
        <v>0.693693861245686</v>
      </c>
      <c r="L19" s="75">
        <f>AVERAGE(L15:L18)</f>
        <v>0.95375</v>
      </c>
      <c r="M19" s="75">
        <f>AVERAGE(M15:M18)</f>
        <v>0.725719676828547</v>
      </c>
      <c r="N19" s="75">
        <f>AVERAGE(N15:N18)</f>
        <v>0.94875</v>
      </c>
      <c r="O19" s="75">
        <f>AVERAGE(O15:O18)</f>
        <v>0.708664643147401</v>
      </c>
      <c r="U19" s="86"/>
      <c r="V19" s="106"/>
      <c r="W19" s="106"/>
      <c r="X19" s="86"/>
    </row>
    <row r="20" spans="1:24">
      <c r="A20" s="5" t="s">
        <v>10</v>
      </c>
      <c r="B20" s="70">
        <v>0.825</v>
      </c>
      <c r="C20" s="71">
        <v>0.646464646464646</v>
      </c>
      <c r="D20" s="70">
        <v>0.86</v>
      </c>
      <c r="E20" s="70">
        <v>0.688888888888888</v>
      </c>
      <c r="G20" s="5" t="s">
        <v>9</v>
      </c>
      <c r="H20" s="24">
        <v>0.95</v>
      </c>
      <c r="I20" s="24">
        <v>0.705882352941176</v>
      </c>
      <c r="J20" s="24">
        <v>0.95</v>
      </c>
      <c r="K20" s="97">
        <v>0.705882352941176</v>
      </c>
      <c r="L20" s="24">
        <v>0.955</v>
      </c>
      <c r="M20" s="24">
        <v>0.4</v>
      </c>
      <c r="N20" s="24">
        <v>0.94</v>
      </c>
      <c r="O20" s="24">
        <v>0.538461538461538</v>
      </c>
      <c r="U20" s="86"/>
      <c r="V20" s="107"/>
      <c r="W20" s="107"/>
      <c r="X20" s="86"/>
    </row>
    <row r="21" spans="1:24">
      <c r="A21" s="5" t="s">
        <v>11</v>
      </c>
      <c r="B21" s="70">
        <v>0.99</v>
      </c>
      <c r="C21" s="71">
        <v>0.909090909090909</v>
      </c>
      <c r="D21" s="70">
        <v>0.985</v>
      </c>
      <c r="E21" s="70">
        <v>0.869565217391304</v>
      </c>
      <c r="G21" s="5" t="s">
        <v>10</v>
      </c>
      <c r="H21" s="24">
        <v>0.85</v>
      </c>
      <c r="I21" s="24">
        <v>0.680851063829787</v>
      </c>
      <c r="J21" s="24">
        <v>0.825</v>
      </c>
      <c r="K21" s="97">
        <v>0.646464646464646</v>
      </c>
      <c r="L21" s="24">
        <v>0.92</v>
      </c>
      <c r="M21" s="24">
        <v>0.757575757575757</v>
      </c>
      <c r="N21" s="24">
        <v>0.91</v>
      </c>
      <c r="O21" s="24">
        <v>0.75</v>
      </c>
      <c r="U21" s="86"/>
      <c r="V21" s="107"/>
      <c r="W21" s="107"/>
      <c r="X21" s="86"/>
    </row>
    <row r="22" spans="1:24">
      <c r="A22" s="6" t="s">
        <v>12</v>
      </c>
      <c r="B22" s="73">
        <v>0.93</v>
      </c>
      <c r="C22" s="74">
        <v>0.533333333333333</v>
      </c>
      <c r="D22" s="73">
        <v>0.905</v>
      </c>
      <c r="E22" s="73">
        <v>0.296296296296296</v>
      </c>
      <c r="G22" s="5" t="s">
        <v>11</v>
      </c>
      <c r="H22" s="24">
        <v>0.995</v>
      </c>
      <c r="I22" s="24">
        <v>0.952380952380952</v>
      </c>
      <c r="J22" s="24">
        <v>0.99</v>
      </c>
      <c r="K22" s="97">
        <v>0.909090909090909</v>
      </c>
      <c r="L22" s="24">
        <v>0.975</v>
      </c>
      <c r="M22" s="24">
        <v>0.761904761904761</v>
      </c>
      <c r="N22" s="24">
        <v>0.975</v>
      </c>
      <c r="O22" s="24">
        <v>0.736842105263157</v>
      </c>
      <c r="U22" s="86"/>
      <c r="V22" s="106"/>
      <c r="W22" s="106"/>
      <c r="X22" s="86"/>
    </row>
    <row r="23" ht="14.85" spans="1:24">
      <c r="A23" s="7" t="s">
        <v>31</v>
      </c>
      <c r="B23" s="78">
        <f>AVERAGE(B19:B22)</f>
        <v>0.92375</v>
      </c>
      <c r="C23" s="79">
        <f>AVERAGE(C19:C22)</f>
        <v>0.698692810457516</v>
      </c>
      <c r="D23" s="80">
        <f>AVERAGE(D19:D22)</f>
        <v>0.925</v>
      </c>
      <c r="E23" s="78">
        <f>AVERAGE(E19:E22)</f>
        <v>0.630354267310788</v>
      </c>
      <c r="G23" s="6" t="s">
        <v>12</v>
      </c>
      <c r="H23" s="81">
        <v>0.925</v>
      </c>
      <c r="I23" s="81">
        <v>0.482758620689655</v>
      </c>
      <c r="J23" s="81">
        <v>0.93</v>
      </c>
      <c r="K23" s="99">
        <v>0.533333333333333</v>
      </c>
      <c r="L23" s="81">
        <v>0.925</v>
      </c>
      <c r="M23" s="81">
        <v>0.516129032258064</v>
      </c>
      <c r="N23" s="81">
        <v>0.92</v>
      </c>
      <c r="O23" s="81">
        <v>0.619047619047619</v>
      </c>
      <c r="U23" s="86"/>
      <c r="V23" s="106"/>
      <c r="W23" s="106"/>
      <c r="X23" s="86"/>
    </row>
    <row r="24" ht="14.85" spans="1:24">
      <c r="A24" s="82" t="s">
        <v>34</v>
      </c>
      <c r="B24" s="83">
        <v>0.28</v>
      </c>
      <c r="C24" s="84">
        <v>0.6702</v>
      </c>
      <c r="D24" s="85">
        <v>0.315</v>
      </c>
      <c r="E24" s="85">
        <v>0.6928</v>
      </c>
      <c r="G24" s="7" t="s">
        <v>31</v>
      </c>
      <c r="H24" s="75">
        <f>AVERAGE(H20:H23)</f>
        <v>0.93</v>
      </c>
      <c r="I24" s="75">
        <f>AVERAGE(I20:I23)</f>
        <v>0.705468247460393</v>
      </c>
      <c r="J24" s="75">
        <f>AVERAGE(J20:J23)</f>
        <v>0.92375</v>
      </c>
      <c r="K24" s="76">
        <f>AVERAGE(K20:K23)</f>
        <v>0.698692810457516</v>
      </c>
      <c r="L24" s="75">
        <f>AVERAGE(L20:L23)</f>
        <v>0.94375</v>
      </c>
      <c r="M24" s="75">
        <f>AVERAGE(M20:M23)</f>
        <v>0.608902387934645</v>
      </c>
      <c r="N24" s="75">
        <f>AVERAGE(N20:N23)</f>
        <v>0.93625</v>
      </c>
      <c r="O24" s="75">
        <f>AVERAGE(O20:O23)</f>
        <v>0.661087815693079</v>
      </c>
      <c r="U24" s="86"/>
      <c r="V24" s="106"/>
      <c r="W24" s="106"/>
      <c r="X24" s="86"/>
    </row>
    <row r="25" ht="14.85" spans="7:24">
      <c r="G25" s="82" t="s">
        <v>34</v>
      </c>
      <c r="H25" s="82">
        <v>0.3</v>
      </c>
      <c r="I25" s="100">
        <v>0.6778</v>
      </c>
      <c r="J25" s="100">
        <v>0.28</v>
      </c>
      <c r="K25" s="101">
        <v>0.6702</v>
      </c>
      <c r="L25" s="100">
        <v>0.43</v>
      </c>
      <c r="M25" s="100">
        <v>0.7104</v>
      </c>
      <c r="N25" s="100">
        <v>0.47</v>
      </c>
      <c r="O25" s="100">
        <v>0.7346</v>
      </c>
      <c r="U25" s="86"/>
      <c r="V25" s="106"/>
      <c r="W25" s="106"/>
      <c r="X25" s="86"/>
    </row>
    <row r="26" spans="21:24">
      <c r="U26" s="86"/>
      <c r="V26" s="106"/>
      <c r="W26" s="106"/>
      <c r="X26" s="86"/>
    </row>
    <row r="27" ht="14.85" spans="1:36">
      <c r="A27" s="1" t="s">
        <v>53</v>
      </c>
      <c r="B27" s="1"/>
      <c r="C27" s="1"/>
      <c r="D27" s="1"/>
      <c r="E27" s="1"/>
      <c r="F27" s="1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106"/>
      <c r="W27" s="10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</row>
    <row r="28" ht="29.8" spans="1:36">
      <c r="A28" s="87" t="s">
        <v>21</v>
      </c>
      <c r="B28" s="88" t="s">
        <v>13</v>
      </c>
      <c r="C28" s="88" t="s">
        <v>54</v>
      </c>
      <c r="D28" s="89" t="s">
        <v>55</v>
      </c>
      <c r="E28" s="89" t="s">
        <v>56</v>
      </c>
      <c r="F28" s="90" t="s">
        <v>57</v>
      </c>
      <c r="G28" s="91"/>
      <c r="H28" s="86"/>
      <c r="I28" s="102"/>
      <c r="J28" s="86"/>
      <c r="K28" s="102"/>
      <c r="L28" s="103"/>
      <c r="M28" s="86"/>
      <c r="N28" s="86"/>
      <c r="O28" s="86"/>
      <c r="P28" s="86"/>
      <c r="Q28" s="86"/>
      <c r="R28" s="86"/>
      <c r="S28" s="86"/>
      <c r="T28" s="86"/>
      <c r="U28" s="86"/>
      <c r="V28" s="106"/>
      <c r="W28" s="107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ht="14.85" spans="1:36">
      <c r="A29" s="5" t="s">
        <v>1</v>
      </c>
      <c r="B29" s="11">
        <v>0.7</v>
      </c>
      <c r="C29" s="11">
        <v>0.534883720930232</v>
      </c>
      <c r="D29" s="11">
        <v>0.49090909090909</v>
      </c>
      <c r="E29" s="11">
        <v>0.674698795180723</v>
      </c>
      <c r="F29" s="11">
        <v>0.682926829268292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106"/>
      <c r="W29" s="107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</row>
    <row r="30" spans="1:36">
      <c r="A30" s="5" t="s">
        <v>2</v>
      </c>
      <c r="B30" s="11">
        <v>0.733333333333333</v>
      </c>
      <c r="C30" s="11">
        <v>0.6</v>
      </c>
      <c r="D30" s="11">
        <v>0.666666666666666</v>
      </c>
      <c r="E30" s="11">
        <v>0.727272727272727</v>
      </c>
      <c r="F30" s="11">
        <v>0.709677419354838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107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>
      <c r="A31" s="5" t="s">
        <v>3</v>
      </c>
      <c r="B31" s="11">
        <v>0.7</v>
      </c>
      <c r="C31" s="11">
        <v>0.461538461538461</v>
      </c>
      <c r="D31" s="11">
        <v>0.634146341463414</v>
      </c>
      <c r="E31" s="11">
        <v>0.69047619047619</v>
      </c>
      <c r="F31" s="11">
        <v>0.683544303797468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107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</row>
    <row r="32" spans="1:36">
      <c r="A32" s="5" t="s">
        <v>4</v>
      </c>
      <c r="B32" s="11">
        <v>0.662857142857142</v>
      </c>
      <c r="C32" s="11">
        <v>0.63030303030303</v>
      </c>
      <c r="D32" s="11">
        <v>0.651428571428571</v>
      </c>
      <c r="E32" s="11">
        <v>0.662921348314606</v>
      </c>
      <c r="F32" s="11">
        <v>0.666666666666666</v>
      </c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10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>
      <c r="A33" s="92" t="s">
        <v>31</v>
      </c>
      <c r="B33" s="12">
        <f>AVERAGE(B29:B32)</f>
        <v>0.699047619047619</v>
      </c>
      <c r="C33" s="12">
        <f>AVERAGE(C29:C32)</f>
        <v>0.556681303192931</v>
      </c>
      <c r="D33" s="12">
        <f>AVERAGE(D29:D32)</f>
        <v>0.610787667616935</v>
      </c>
      <c r="E33" s="12">
        <f>AVERAGE(E29:E32)</f>
        <v>0.688842265311061</v>
      </c>
      <c r="F33" s="12">
        <f>AVERAGE(F29:F32)</f>
        <v>0.685703804771816</v>
      </c>
      <c r="H33" s="86"/>
      <c r="I33" s="86"/>
      <c r="J33" s="86"/>
      <c r="K33" s="86"/>
      <c r="L33" s="86"/>
      <c r="M33" s="86"/>
      <c r="N33" s="104"/>
      <c r="O33" s="104"/>
      <c r="P33" s="104"/>
      <c r="Q33" s="81"/>
      <c r="R33" s="70"/>
      <c r="S33" s="104"/>
      <c r="T33" s="104"/>
      <c r="U33" s="104"/>
      <c r="V33" s="106"/>
      <c r="W33" s="70"/>
      <c r="X33" s="104"/>
      <c r="Y33" s="104"/>
      <c r="Z33" s="104"/>
      <c r="AA33" s="81"/>
      <c r="AB33" s="70"/>
      <c r="AC33" s="70"/>
      <c r="AD33" s="86"/>
      <c r="AE33" s="86"/>
      <c r="AF33" s="86"/>
      <c r="AG33" s="86"/>
      <c r="AH33" s="86"/>
      <c r="AI33" s="86"/>
      <c r="AJ33" s="86"/>
    </row>
    <row r="34" spans="1:36">
      <c r="A34" s="5" t="s">
        <v>5</v>
      </c>
      <c r="B34" s="11">
        <v>0.875</v>
      </c>
      <c r="C34" s="11">
        <v>0.777777777777777</v>
      </c>
      <c r="D34" s="11">
        <v>1</v>
      </c>
      <c r="E34" s="11">
        <v>0.903225806451612</v>
      </c>
      <c r="F34" s="11">
        <v>0.875</v>
      </c>
      <c r="H34" s="86"/>
      <c r="I34" s="86"/>
      <c r="J34" s="86"/>
      <c r="K34" s="86"/>
      <c r="L34" s="86"/>
      <c r="M34" s="86"/>
      <c r="N34" s="105"/>
      <c r="O34" s="106"/>
      <c r="P34" s="107"/>
      <c r="Q34" s="107"/>
      <c r="R34" s="106"/>
      <c r="S34" s="106"/>
      <c r="T34" s="106"/>
      <c r="U34" s="106"/>
      <c r="V34" s="106"/>
      <c r="W34" s="106"/>
      <c r="X34" s="107"/>
      <c r="Y34" s="107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</row>
    <row r="35" spans="1:36">
      <c r="A35" s="5" t="s">
        <v>6</v>
      </c>
      <c r="B35" s="11">
        <v>0.692307692307692</v>
      </c>
      <c r="C35" s="11">
        <v>0.45</v>
      </c>
      <c r="D35" s="11">
        <v>0.468085106382978</v>
      </c>
      <c r="E35" s="11">
        <v>0.5</v>
      </c>
      <c r="F35" s="11">
        <v>0.666666666666666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</row>
    <row r="36" spans="1:36">
      <c r="A36" s="5" t="s">
        <v>7</v>
      </c>
      <c r="B36" s="11">
        <v>0.346153846153846</v>
      </c>
      <c r="C36" s="11">
        <v>0.486486486486486</v>
      </c>
      <c r="D36" s="11">
        <v>0.425531914893617</v>
      </c>
      <c r="E36" s="11">
        <v>0.41860465116279</v>
      </c>
      <c r="F36" s="11">
        <v>0.346153846153846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</row>
    <row r="37" spans="1:36">
      <c r="A37" s="5" t="s">
        <v>8</v>
      </c>
      <c r="B37" s="11">
        <v>0.81159420289855</v>
      </c>
      <c r="C37" s="11">
        <v>0.779220779220779</v>
      </c>
      <c r="D37" s="11">
        <v>0.698795180722891</v>
      </c>
      <c r="E37" s="11">
        <v>0.805555555555555</v>
      </c>
      <c r="F37" s="11">
        <v>0.788732394366197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</row>
    <row r="38" spans="1:36">
      <c r="A38" s="92" t="s">
        <v>31</v>
      </c>
      <c r="B38" s="12">
        <f>AVERAGE(B34:B37)</f>
        <v>0.681263935340022</v>
      </c>
      <c r="C38" s="12">
        <f>AVERAGE(C34:C37)</f>
        <v>0.62337126087126</v>
      </c>
      <c r="D38" s="12">
        <f>AVERAGE(D34:D37)</f>
        <v>0.648103050499871</v>
      </c>
      <c r="E38" s="12">
        <f>AVERAGE(E34:E37)</f>
        <v>0.656846503292489</v>
      </c>
      <c r="F38" s="12">
        <f>AVERAGE(F34:F37)</f>
        <v>0.669138226796677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</row>
    <row r="39" spans="1:36">
      <c r="A39" s="5" t="s">
        <v>9</v>
      </c>
      <c r="B39" s="11">
        <v>0.697674418604651</v>
      </c>
      <c r="C39" s="11">
        <v>0.337349397590361</v>
      </c>
      <c r="D39" s="11">
        <v>0.319148936170212</v>
      </c>
      <c r="E39" s="11">
        <v>0.612244897959183</v>
      </c>
      <c r="F39" s="11">
        <v>0.638297872340425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</row>
    <row r="40" spans="1:24">
      <c r="A40" s="5" t="s">
        <v>10</v>
      </c>
      <c r="B40" s="11">
        <v>0.613636363636363</v>
      </c>
      <c r="C40" s="11">
        <v>0.517241379310344</v>
      </c>
      <c r="D40" s="11">
        <v>0.512820512820512</v>
      </c>
      <c r="E40" s="11">
        <v>0.556701030927835</v>
      </c>
      <c r="F40" s="11">
        <v>0.59047619047619</v>
      </c>
      <c r="L40" s="86"/>
      <c r="M40" s="86"/>
      <c r="U40" s="86"/>
      <c r="V40" s="86"/>
      <c r="W40" s="86"/>
      <c r="X40" s="86"/>
    </row>
    <row r="41" spans="1:24">
      <c r="A41" s="5" t="s">
        <v>11</v>
      </c>
      <c r="B41" s="11">
        <v>0.666666666666666</v>
      </c>
      <c r="C41" s="11">
        <v>0.571428571428571</v>
      </c>
      <c r="D41" s="11">
        <v>0.275862068965517</v>
      </c>
      <c r="E41" s="11">
        <v>0.444444444444444</v>
      </c>
      <c r="F41" s="11">
        <v>0.625</v>
      </c>
      <c r="L41" s="86"/>
      <c r="M41" s="86"/>
      <c r="U41" s="86"/>
      <c r="V41" s="86"/>
      <c r="W41" s="86"/>
      <c r="X41" s="86"/>
    </row>
    <row r="42" spans="1:6">
      <c r="A42" s="5" t="s">
        <v>12</v>
      </c>
      <c r="B42" s="11">
        <v>0.296296296296296</v>
      </c>
      <c r="C42" s="11">
        <v>0.4</v>
      </c>
      <c r="D42" s="11">
        <v>0.561403508771929</v>
      </c>
      <c r="E42" s="11">
        <v>0.444444444444444</v>
      </c>
      <c r="F42" s="11">
        <v>0.5</v>
      </c>
    </row>
    <row r="43" spans="1:13">
      <c r="A43" s="92" t="s">
        <v>31</v>
      </c>
      <c r="B43" s="93">
        <f>AVERAGE(B39:B42)</f>
        <v>0.568568436300994</v>
      </c>
      <c r="C43" s="93">
        <f>AVERAGE(C39:C42)</f>
        <v>0.456504837082319</v>
      </c>
      <c r="D43" s="93">
        <f>AVERAGE(D39:D42)</f>
        <v>0.417308756682042</v>
      </c>
      <c r="E43" s="93">
        <f>AVERAGE(E39:E42)</f>
        <v>0.514458704443976</v>
      </c>
      <c r="F43" s="93">
        <f>AVERAGE(F39:F42)</f>
        <v>0.588443515704154</v>
      </c>
      <c r="L43" s="86"/>
      <c r="M43" s="86"/>
    </row>
    <row r="44" spans="12:13">
      <c r="L44" s="86"/>
      <c r="M44" s="86"/>
    </row>
    <row r="45" spans="12:13">
      <c r="L45" s="86"/>
      <c r="M45" s="86"/>
    </row>
    <row r="46" spans="12:13">
      <c r="L46" s="86"/>
      <c r="M46" s="86"/>
    </row>
    <row r="48" spans="12:13">
      <c r="L48" s="86"/>
      <c r="M48" s="86"/>
    </row>
    <row r="49" spans="12:13">
      <c r="L49" s="86"/>
      <c r="M49" s="86"/>
    </row>
    <row r="50" spans="12:13">
      <c r="L50" s="86"/>
      <c r="M50" s="86"/>
    </row>
    <row r="51" spans="12:13">
      <c r="L51" s="107"/>
      <c r="M51" s="106"/>
    </row>
  </sheetData>
  <mergeCells count="14">
    <mergeCell ref="A1:M1"/>
    <mergeCell ref="A6:E6"/>
    <mergeCell ref="G6:O6"/>
    <mergeCell ref="B7:C7"/>
    <mergeCell ref="D7:E7"/>
    <mergeCell ref="H7:K7"/>
    <mergeCell ref="L7:O7"/>
    <mergeCell ref="H8:I8"/>
    <mergeCell ref="J8:K8"/>
    <mergeCell ref="L8:M8"/>
    <mergeCell ref="N8:O8"/>
    <mergeCell ref="A27:F27"/>
    <mergeCell ref="A7:A8"/>
    <mergeCell ref="G7:G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90"/>
  <sheetViews>
    <sheetView zoomScale="79" zoomScaleNormal="79" workbookViewId="0">
      <selection activeCell="T14" sqref="T14"/>
    </sheetView>
  </sheetViews>
  <sheetFormatPr defaultColWidth="4.72972972972973" defaultRowHeight="14.1"/>
  <cols>
    <col min="2" max="2" width="6.77477477477477" style="1" customWidth="1"/>
    <col min="3" max="3" width="7.61261261261261" style="1" customWidth="1"/>
    <col min="4" max="13" width="6.63963963963964" style="1" customWidth="1"/>
    <col min="14" max="14" width="12.8198198198198"/>
    <col min="15" max="26" width="7.63963963963964" style="1" customWidth="1"/>
    <col min="27" max="27" width="12.8198198198198"/>
    <col min="28" max="28" width="14"/>
    <col min="29" max="29" width="12.8198198198198"/>
    <col min="30" max="30" width="14"/>
    <col min="31" max="31" width="12.8198198198198"/>
    <col min="32" max="32" width="14"/>
    <col min="33" max="33" width="12.8198198198198"/>
    <col min="34" max="34" width="14"/>
    <col min="35" max="35" width="12.8198198198198"/>
    <col min="36" max="36" width="6.45045045045045" customWidth="1"/>
    <col min="37" max="37" width="7" customWidth="1"/>
    <col min="38" max="38" width="12.8198198198198"/>
    <col min="39" max="39" width="6.54954954954955" customWidth="1"/>
    <col min="52" max="52" width="0.90990990990991" customWidth="1"/>
    <col min="53" max="53" width="4.72972972972973" hidden="1" customWidth="1"/>
    <col min="54" max="54" width="12.7297297297297" customWidth="1"/>
  </cols>
  <sheetData>
    <row r="1" ht="14.85" spans="2:15">
      <c r="B1" s="1" t="s">
        <v>18</v>
      </c>
      <c r="O1" s="1" t="s">
        <v>18</v>
      </c>
    </row>
    <row r="2" spans="2:28">
      <c r="B2" s="2" t="s">
        <v>20</v>
      </c>
      <c r="C2" s="2" t="s">
        <v>21</v>
      </c>
      <c r="D2" s="3" t="s">
        <v>22</v>
      </c>
      <c r="E2" s="3"/>
      <c r="F2" s="3"/>
      <c r="G2" s="3"/>
      <c r="H2" s="4" t="s">
        <v>23</v>
      </c>
      <c r="I2" s="4"/>
      <c r="J2" s="3" t="s">
        <v>24</v>
      </c>
      <c r="K2" s="15"/>
      <c r="L2" s="4" t="s">
        <v>25</v>
      </c>
      <c r="M2" s="4"/>
      <c r="O2" s="2" t="s">
        <v>20</v>
      </c>
      <c r="P2" s="2" t="s">
        <v>21</v>
      </c>
      <c r="Q2" s="3" t="s">
        <v>22</v>
      </c>
      <c r="R2" s="3"/>
      <c r="S2" s="3"/>
      <c r="T2" s="3"/>
      <c r="U2" s="4" t="s">
        <v>23</v>
      </c>
      <c r="V2" s="4"/>
      <c r="W2" s="3" t="s">
        <v>24</v>
      </c>
      <c r="X2" s="15"/>
      <c r="Y2" s="4" t="s">
        <v>25</v>
      </c>
      <c r="Z2" s="4"/>
      <c r="AB2" s="47"/>
    </row>
    <row r="3" spans="2:28">
      <c r="B3" s="5"/>
      <c r="C3" s="5"/>
      <c r="D3" s="6" t="s">
        <v>26</v>
      </c>
      <c r="E3" s="6"/>
      <c r="F3" s="6" t="s">
        <v>27</v>
      </c>
      <c r="G3" s="6"/>
      <c r="H3" s="6"/>
      <c r="I3" s="6"/>
      <c r="J3" s="6"/>
      <c r="K3" s="16"/>
      <c r="L3" s="6"/>
      <c r="M3" s="6"/>
      <c r="O3" s="5"/>
      <c r="P3" s="5"/>
      <c r="Q3" s="6" t="s">
        <v>26</v>
      </c>
      <c r="R3" s="6"/>
      <c r="S3" s="6" t="s">
        <v>27</v>
      </c>
      <c r="T3" s="6"/>
      <c r="U3" s="6"/>
      <c r="V3" s="6"/>
      <c r="W3" s="6"/>
      <c r="X3" s="16"/>
      <c r="Y3" s="6"/>
      <c r="Z3" s="6"/>
      <c r="AB3" s="8"/>
    </row>
    <row r="4" ht="14.85" spans="2:28">
      <c r="B4" s="7"/>
      <c r="C4" s="7"/>
      <c r="D4" s="7" t="s">
        <v>28</v>
      </c>
      <c r="E4" s="7" t="s">
        <v>29</v>
      </c>
      <c r="F4" s="7" t="s">
        <v>28</v>
      </c>
      <c r="G4" s="7" t="s">
        <v>29</v>
      </c>
      <c r="H4" s="7" t="s">
        <v>28</v>
      </c>
      <c r="I4" s="7" t="s">
        <v>29</v>
      </c>
      <c r="J4" s="7" t="s">
        <v>28</v>
      </c>
      <c r="K4" s="17" t="s">
        <v>29</v>
      </c>
      <c r="L4" s="7" t="s">
        <v>28</v>
      </c>
      <c r="M4" s="7" t="s">
        <v>29</v>
      </c>
      <c r="O4" s="7"/>
      <c r="P4" s="7"/>
      <c r="Q4" s="27" t="s">
        <v>28</v>
      </c>
      <c r="R4" s="27" t="s">
        <v>29</v>
      </c>
      <c r="S4" s="27" t="s">
        <v>28</v>
      </c>
      <c r="T4" s="27" t="s">
        <v>29</v>
      </c>
      <c r="U4" s="27" t="s">
        <v>28</v>
      </c>
      <c r="V4" s="27" t="s">
        <v>29</v>
      </c>
      <c r="W4" s="27" t="s">
        <v>28</v>
      </c>
      <c r="X4" s="28" t="s">
        <v>29</v>
      </c>
      <c r="Y4" s="7" t="s">
        <v>28</v>
      </c>
      <c r="Z4" s="7" t="s">
        <v>29</v>
      </c>
      <c r="AB4" s="8"/>
    </row>
    <row r="5" spans="2:28">
      <c r="B5" s="5" t="s">
        <v>30</v>
      </c>
      <c r="C5" s="5" t="s">
        <v>1</v>
      </c>
      <c r="D5" s="5">
        <v>0.86</v>
      </c>
      <c r="E5" s="5">
        <v>0.681818181818181</v>
      </c>
      <c r="F5" s="5">
        <v>0.785</v>
      </c>
      <c r="G5" s="5">
        <v>0.58252427184466</v>
      </c>
      <c r="H5" s="8">
        <v>0.91</v>
      </c>
      <c r="I5" s="8">
        <v>0.769230769230769</v>
      </c>
      <c r="J5" s="5">
        <v>0.87</v>
      </c>
      <c r="K5" s="18">
        <v>0.704545454545454</v>
      </c>
      <c r="L5" s="19">
        <v>0.955</v>
      </c>
      <c r="M5" s="20">
        <v>0.869565217391304</v>
      </c>
      <c r="O5" s="5" t="s">
        <v>30</v>
      </c>
      <c r="P5" s="5" t="s">
        <v>1</v>
      </c>
      <c r="Q5" s="29">
        <f>D5-$L5</f>
        <v>-0.095</v>
      </c>
      <c r="R5" s="29">
        <f t="shared" ref="R5:Z5" si="0">E5-$L5</f>
        <v>-0.273181818181819</v>
      </c>
      <c r="S5" s="29">
        <f t="shared" si="0"/>
        <v>-0.17</v>
      </c>
      <c r="T5" s="29">
        <f t="shared" si="0"/>
        <v>-0.37247572815534</v>
      </c>
      <c r="U5" s="29">
        <f t="shared" si="0"/>
        <v>-0.0449999999999999</v>
      </c>
      <c r="V5" s="29">
        <f t="shared" si="0"/>
        <v>-0.185769230769231</v>
      </c>
      <c r="W5" s="29">
        <f t="shared" si="0"/>
        <v>-0.085</v>
      </c>
      <c r="X5" s="30">
        <f t="shared" si="0"/>
        <v>-0.250454545454546</v>
      </c>
      <c r="Y5" s="19">
        <v>0.955</v>
      </c>
      <c r="Z5" s="20">
        <v>0.869565217391304</v>
      </c>
      <c r="AB5" s="8"/>
    </row>
    <row r="6" spans="2:28">
      <c r="B6" s="5"/>
      <c r="C6" s="5" t="s">
        <v>2</v>
      </c>
      <c r="D6" s="5">
        <v>0.945</v>
      </c>
      <c r="E6" s="5">
        <v>0.521739130434782</v>
      </c>
      <c r="F6" s="5">
        <v>0.945</v>
      </c>
      <c r="G6" s="5">
        <v>0.620689655172413</v>
      </c>
      <c r="H6" s="1">
        <v>0.935</v>
      </c>
      <c r="I6" s="1">
        <v>0.518518518518518</v>
      </c>
      <c r="J6" s="5">
        <v>0.95</v>
      </c>
      <c r="K6" s="18">
        <v>0.583333333333333</v>
      </c>
      <c r="L6" s="19">
        <v>0.94</v>
      </c>
      <c r="M6" s="19">
        <v>0.538461538461538</v>
      </c>
      <c r="O6" s="5"/>
      <c r="P6" s="5" t="s">
        <v>2</v>
      </c>
      <c r="Q6" s="29">
        <f t="shared" ref="Q6:Q19" si="1">D6-$L6</f>
        <v>0.005</v>
      </c>
      <c r="R6" s="29">
        <f>E6-$L6</f>
        <v>-0.418260869565218</v>
      </c>
      <c r="S6" s="29">
        <f t="shared" ref="S6:S19" si="2">F6-$L6</f>
        <v>0.005</v>
      </c>
      <c r="T6" s="29">
        <f t="shared" ref="T6:T19" si="3">G6-$L6</f>
        <v>-0.319310344827587</v>
      </c>
      <c r="U6" s="29">
        <f t="shared" ref="U6:U19" si="4">H6-$L6</f>
        <v>-0.00499999999999989</v>
      </c>
      <c r="V6" s="29">
        <f t="shared" ref="V6:V19" si="5">I6-$L6</f>
        <v>-0.421481481481482</v>
      </c>
      <c r="W6" s="29">
        <f t="shared" ref="W6:W19" si="6">J6-$L6</f>
        <v>0.01</v>
      </c>
      <c r="X6" s="30">
        <f t="shared" ref="X6:X19" si="7">K6-$L6</f>
        <v>-0.356666666666667</v>
      </c>
      <c r="Y6" s="19">
        <v>0.94</v>
      </c>
      <c r="Z6" s="19">
        <v>0.538461538461538</v>
      </c>
      <c r="AB6" s="8"/>
    </row>
    <row r="7" spans="2:30">
      <c r="B7" s="5"/>
      <c r="C7" s="5" t="s">
        <v>3</v>
      </c>
      <c r="D7" s="5">
        <v>0.885</v>
      </c>
      <c r="E7" s="5">
        <v>0.70886075949367</v>
      </c>
      <c r="F7" s="5">
        <v>0.87</v>
      </c>
      <c r="G7" s="5">
        <v>0.666666666666666</v>
      </c>
      <c r="H7" s="1">
        <v>0.88</v>
      </c>
      <c r="I7" s="1">
        <v>0.692307692307692</v>
      </c>
      <c r="J7" s="5">
        <v>0.865</v>
      </c>
      <c r="K7" s="18">
        <v>0.703296703296703</v>
      </c>
      <c r="L7" s="19">
        <v>0.89</v>
      </c>
      <c r="M7" s="19">
        <v>0.725</v>
      </c>
      <c r="O7" s="5"/>
      <c r="P7" s="5" t="s">
        <v>3</v>
      </c>
      <c r="Q7" s="29">
        <f t="shared" si="1"/>
        <v>-0.005</v>
      </c>
      <c r="R7" s="29">
        <f t="shared" ref="R6:R20" si="8">E7-$L7</f>
        <v>-0.18113924050633</v>
      </c>
      <c r="S7" s="29">
        <f t="shared" si="2"/>
        <v>-0.02</v>
      </c>
      <c r="T7" s="29">
        <f t="shared" si="3"/>
        <v>-0.223333333333334</v>
      </c>
      <c r="U7" s="29">
        <f t="shared" si="4"/>
        <v>-0.01</v>
      </c>
      <c r="V7" s="29">
        <f t="shared" si="5"/>
        <v>-0.197692307692308</v>
      </c>
      <c r="W7" s="29">
        <f t="shared" si="6"/>
        <v>-0.025</v>
      </c>
      <c r="X7" s="30">
        <f t="shared" si="7"/>
        <v>-0.186703296703297</v>
      </c>
      <c r="Y7" s="19">
        <v>0.89</v>
      </c>
      <c r="Z7" s="19">
        <v>0.725</v>
      </c>
      <c r="AB7" s="1"/>
      <c r="AC7" s="47"/>
      <c r="AD7" s="47"/>
    </row>
    <row r="8" spans="2:30">
      <c r="B8" s="5"/>
      <c r="C8" s="6" t="s">
        <v>4</v>
      </c>
      <c r="D8" s="6">
        <v>0.575</v>
      </c>
      <c r="E8" s="6">
        <v>0.585365853658536</v>
      </c>
      <c r="F8" s="6">
        <v>0.69</v>
      </c>
      <c r="G8" s="6">
        <v>0.63953488372093</v>
      </c>
      <c r="H8" s="9">
        <v>0.75</v>
      </c>
      <c r="I8" s="9">
        <v>0.698795180722891</v>
      </c>
      <c r="J8" s="6">
        <v>0.685</v>
      </c>
      <c r="K8" s="16">
        <v>0.644067796610169</v>
      </c>
      <c r="L8" s="21">
        <v>0.87</v>
      </c>
      <c r="M8" s="21">
        <v>0.779661016949152</v>
      </c>
      <c r="O8" s="5"/>
      <c r="P8" s="6" t="s">
        <v>4</v>
      </c>
      <c r="Q8" s="31">
        <f t="shared" si="1"/>
        <v>-0.295</v>
      </c>
      <c r="R8" s="31">
        <f t="shared" si="8"/>
        <v>-0.284634146341464</v>
      </c>
      <c r="S8" s="31">
        <f t="shared" si="2"/>
        <v>-0.18</v>
      </c>
      <c r="T8" s="31">
        <f t="shared" si="3"/>
        <v>-0.23046511627907</v>
      </c>
      <c r="U8" s="31">
        <f t="shared" si="4"/>
        <v>-0.12</v>
      </c>
      <c r="V8" s="31">
        <f t="shared" si="5"/>
        <v>-0.171204819277109</v>
      </c>
      <c r="W8" s="31">
        <f t="shared" si="6"/>
        <v>-0.185</v>
      </c>
      <c r="X8" s="32">
        <f t="shared" si="7"/>
        <v>-0.225932203389831</v>
      </c>
      <c r="Y8" s="21">
        <v>0.87</v>
      </c>
      <c r="Z8" s="21">
        <v>0.779661016949152</v>
      </c>
      <c r="AB8" s="1"/>
      <c r="AC8" s="1"/>
      <c r="AD8" s="1"/>
    </row>
    <row r="9" spans="2:30">
      <c r="B9" s="6"/>
      <c r="C9" s="6" t="s">
        <v>31</v>
      </c>
      <c r="D9" s="6">
        <f>AVERAGE(D5:D8)</f>
        <v>0.81625</v>
      </c>
      <c r="E9" s="6">
        <f t="shared" ref="E9:M9" si="9">AVERAGE(E5:E8)</f>
        <v>0.624445981351292</v>
      </c>
      <c r="F9" s="6">
        <f t="shared" si="9"/>
        <v>0.8225</v>
      </c>
      <c r="G9" s="6">
        <f t="shared" si="9"/>
        <v>0.627353869351167</v>
      </c>
      <c r="H9" s="6">
        <f t="shared" si="9"/>
        <v>0.86875</v>
      </c>
      <c r="I9" s="6">
        <f t="shared" si="9"/>
        <v>0.669713040194967</v>
      </c>
      <c r="J9" s="6">
        <f t="shared" si="9"/>
        <v>0.8425</v>
      </c>
      <c r="K9" s="6">
        <f t="shared" si="9"/>
        <v>0.658810821946415</v>
      </c>
      <c r="L9" s="6">
        <f t="shared" si="9"/>
        <v>0.91375</v>
      </c>
      <c r="M9" s="6">
        <f t="shared" si="9"/>
        <v>0.728171943200498</v>
      </c>
      <c r="O9" s="6"/>
      <c r="P9" s="6" t="s">
        <v>58</v>
      </c>
      <c r="Q9" s="31">
        <f>SUMSQ(Q5:Q8)/4</f>
        <v>0.024025</v>
      </c>
      <c r="R9" s="31">
        <f t="shared" ref="R9:Z9" si="10">SUMSQ(R5:R8)/4</f>
        <v>0.0908496206273302</v>
      </c>
      <c r="S9" s="31">
        <f t="shared" si="10"/>
        <v>0.01543125</v>
      </c>
      <c r="T9" s="31">
        <f t="shared" si="10"/>
        <v>0.0859223029945166</v>
      </c>
      <c r="U9" s="33">
        <f t="shared" si="10"/>
        <v>0.0041375</v>
      </c>
      <c r="V9" s="31">
        <f t="shared" si="10"/>
        <v>0.0701375462492086</v>
      </c>
      <c r="W9" s="31">
        <f t="shared" si="10"/>
        <v>0.01054375</v>
      </c>
      <c r="X9" s="33">
        <f t="shared" si="10"/>
        <v>0.0689605179946045</v>
      </c>
      <c r="Y9" s="31">
        <f t="shared" si="10"/>
        <v>0.83615625</v>
      </c>
      <c r="Z9" s="31">
        <f t="shared" si="10"/>
        <v>0.544895199262335</v>
      </c>
      <c r="AB9" s="1"/>
      <c r="AC9" s="1"/>
      <c r="AD9" s="1"/>
    </row>
    <row r="10" spans="2:30">
      <c r="B10" s="5" t="s">
        <v>32</v>
      </c>
      <c r="C10" s="5" t="s">
        <v>5</v>
      </c>
      <c r="D10" s="5">
        <v>0.98</v>
      </c>
      <c r="E10" s="5">
        <v>0.866666666666666</v>
      </c>
      <c r="F10" s="5">
        <v>0.975</v>
      </c>
      <c r="G10" s="5">
        <v>0.848484848484848</v>
      </c>
      <c r="H10" s="1">
        <v>0.98</v>
      </c>
      <c r="I10" s="1">
        <v>0.875</v>
      </c>
      <c r="J10" s="5">
        <v>1</v>
      </c>
      <c r="K10" s="18">
        <v>1</v>
      </c>
      <c r="L10" s="19">
        <v>0.985</v>
      </c>
      <c r="M10" s="19">
        <v>0.903225806451612</v>
      </c>
      <c r="O10" s="5" t="s">
        <v>32</v>
      </c>
      <c r="P10" s="5" t="s">
        <v>5</v>
      </c>
      <c r="Q10" s="29">
        <f t="shared" si="1"/>
        <v>-0.005</v>
      </c>
      <c r="R10" s="29">
        <f t="shared" si="8"/>
        <v>-0.118333333333334</v>
      </c>
      <c r="S10" s="29">
        <f t="shared" si="2"/>
        <v>-0.01</v>
      </c>
      <c r="T10" s="29">
        <f t="shared" si="3"/>
        <v>-0.136515151515152</v>
      </c>
      <c r="U10" s="29">
        <f t="shared" si="4"/>
        <v>-0.005</v>
      </c>
      <c r="V10" s="29">
        <f t="shared" si="5"/>
        <v>-0.11</v>
      </c>
      <c r="W10" s="29">
        <f t="shared" si="6"/>
        <v>0.015</v>
      </c>
      <c r="X10" s="30">
        <f t="shared" si="7"/>
        <v>0.015</v>
      </c>
      <c r="Y10" s="19">
        <v>0.985</v>
      </c>
      <c r="Z10" s="19">
        <v>0.903225806451612</v>
      </c>
      <c r="AB10" s="1"/>
      <c r="AC10" s="1"/>
      <c r="AD10" s="1"/>
    </row>
    <row r="11" spans="2:30">
      <c r="B11" s="5"/>
      <c r="C11" s="5" t="s">
        <v>6</v>
      </c>
      <c r="D11" s="5">
        <v>0.95</v>
      </c>
      <c r="E11" s="5">
        <v>0.666666666666666</v>
      </c>
      <c r="F11" s="5">
        <v>0.86</v>
      </c>
      <c r="G11" s="5">
        <v>0.416666666666666</v>
      </c>
      <c r="H11" s="1">
        <v>0.95</v>
      </c>
      <c r="I11" s="1">
        <v>0.6875</v>
      </c>
      <c r="J11" s="5">
        <v>0.94</v>
      </c>
      <c r="K11" s="18">
        <v>0.6</v>
      </c>
      <c r="L11" s="19">
        <v>0.95</v>
      </c>
      <c r="M11" s="19">
        <v>0.545454545454545</v>
      </c>
      <c r="O11" s="5"/>
      <c r="P11" s="5" t="s">
        <v>6</v>
      </c>
      <c r="Q11" s="29">
        <f t="shared" si="1"/>
        <v>0</v>
      </c>
      <c r="R11" s="29">
        <f t="shared" si="8"/>
        <v>-0.283333333333334</v>
      </c>
      <c r="S11" s="29">
        <f t="shared" si="2"/>
        <v>-0.09</v>
      </c>
      <c r="T11" s="29">
        <f t="shared" si="3"/>
        <v>-0.533333333333334</v>
      </c>
      <c r="U11" s="29">
        <f t="shared" si="4"/>
        <v>0</v>
      </c>
      <c r="V11" s="29">
        <f t="shared" si="5"/>
        <v>-0.2625</v>
      </c>
      <c r="W11" s="29">
        <f t="shared" si="6"/>
        <v>-0.01</v>
      </c>
      <c r="X11" s="30">
        <f t="shared" si="7"/>
        <v>-0.35</v>
      </c>
      <c r="Y11" s="19">
        <v>0.95</v>
      </c>
      <c r="Z11" s="19">
        <v>0.545454545454545</v>
      </c>
      <c r="AC11" s="1"/>
      <c r="AD11" s="1"/>
    </row>
    <row r="12" spans="2:30">
      <c r="B12" s="5"/>
      <c r="C12" s="5" t="s">
        <v>7</v>
      </c>
      <c r="D12" s="5">
        <v>0.845</v>
      </c>
      <c r="E12" s="5">
        <v>0.311111111111111</v>
      </c>
      <c r="F12" s="5">
        <v>0.865</v>
      </c>
      <c r="G12" s="5">
        <v>0.399999999999999</v>
      </c>
      <c r="H12" s="1">
        <v>0.795</v>
      </c>
      <c r="I12" s="1">
        <v>0.327868852459016</v>
      </c>
      <c r="J12" s="5">
        <v>0.84</v>
      </c>
      <c r="K12" s="18">
        <v>0.333333333333333</v>
      </c>
      <c r="L12" s="19">
        <v>0.955</v>
      </c>
      <c r="M12" s="19">
        <v>0.526315789473684</v>
      </c>
      <c r="O12" s="5"/>
      <c r="P12" s="5" t="s">
        <v>7</v>
      </c>
      <c r="Q12" s="29">
        <f t="shared" si="1"/>
        <v>-0.11</v>
      </c>
      <c r="R12" s="29">
        <f t="shared" si="8"/>
        <v>-0.643888888888889</v>
      </c>
      <c r="S12" s="29">
        <f t="shared" si="2"/>
        <v>-0.09</v>
      </c>
      <c r="T12" s="29">
        <f t="shared" si="3"/>
        <v>-0.555000000000001</v>
      </c>
      <c r="U12" s="29">
        <f t="shared" si="4"/>
        <v>-0.16</v>
      </c>
      <c r="V12" s="29">
        <f t="shared" si="5"/>
        <v>-0.627131147540984</v>
      </c>
      <c r="W12" s="29">
        <f t="shared" si="6"/>
        <v>-0.115</v>
      </c>
      <c r="X12" s="30">
        <f t="shared" si="7"/>
        <v>-0.621666666666667</v>
      </c>
      <c r="Y12" s="19">
        <v>0.955</v>
      </c>
      <c r="Z12" s="19">
        <v>0.526315789473684</v>
      </c>
      <c r="AB12" s="1"/>
      <c r="AC12" s="1"/>
      <c r="AD12" s="1"/>
    </row>
    <row r="13" spans="2:30">
      <c r="B13" s="5"/>
      <c r="C13" s="6" t="s">
        <v>8</v>
      </c>
      <c r="D13" s="6">
        <v>0.925</v>
      </c>
      <c r="E13" s="6">
        <v>0.788732394366197</v>
      </c>
      <c r="F13" s="6">
        <v>0.865</v>
      </c>
      <c r="G13" s="6">
        <v>0.68235294117647</v>
      </c>
      <c r="H13" s="10">
        <v>0.865</v>
      </c>
      <c r="I13" s="10">
        <v>0.696629213483146</v>
      </c>
      <c r="J13" s="6">
        <v>0.9</v>
      </c>
      <c r="K13" s="16">
        <v>0.743589743589743</v>
      </c>
      <c r="L13" s="21">
        <v>0.935</v>
      </c>
      <c r="M13" s="21">
        <v>0.805970149253731</v>
      </c>
      <c r="O13" s="5"/>
      <c r="P13" s="6" t="s">
        <v>8</v>
      </c>
      <c r="Q13" s="31">
        <f t="shared" si="1"/>
        <v>-0.01</v>
      </c>
      <c r="R13" s="31">
        <f t="shared" si="8"/>
        <v>-0.146267605633803</v>
      </c>
      <c r="S13" s="31">
        <f t="shared" si="2"/>
        <v>-0.0700000000000001</v>
      </c>
      <c r="T13" s="31">
        <f t="shared" si="3"/>
        <v>-0.25264705882353</v>
      </c>
      <c r="U13" s="31">
        <f t="shared" si="4"/>
        <v>-0.0700000000000001</v>
      </c>
      <c r="V13" s="31">
        <f t="shared" si="5"/>
        <v>-0.238370786516854</v>
      </c>
      <c r="W13" s="31">
        <f t="shared" si="6"/>
        <v>-0.035</v>
      </c>
      <c r="X13" s="32">
        <f t="shared" si="7"/>
        <v>-0.191410256410257</v>
      </c>
      <c r="Y13" s="21">
        <v>0.935</v>
      </c>
      <c r="Z13" s="21">
        <v>0.805970149253731</v>
      </c>
      <c r="AB13" s="1"/>
      <c r="AC13" s="1"/>
      <c r="AD13" s="1"/>
    </row>
    <row r="14" spans="2:30">
      <c r="B14" s="6"/>
      <c r="C14" s="6" t="s">
        <v>31</v>
      </c>
      <c r="D14" s="6">
        <f>AVERAGE(D10:D13)</f>
        <v>0.925</v>
      </c>
      <c r="E14" s="6">
        <f t="shared" ref="E14:M14" si="11">AVERAGE(E10:E13)</f>
        <v>0.65829420970266</v>
      </c>
      <c r="F14" s="6">
        <f t="shared" si="11"/>
        <v>0.89125</v>
      </c>
      <c r="G14" s="6">
        <f t="shared" si="11"/>
        <v>0.586876114081996</v>
      </c>
      <c r="H14" s="6">
        <f t="shared" si="11"/>
        <v>0.8975</v>
      </c>
      <c r="I14" s="6">
        <f t="shared" si="11"/>
        <v>0.64674951648554</v>
      </c>
      <c r="J14" s="6">
        <f t="shared" si="11"/>
        <v>0.92</v>
      </c>
      <c r="K14" s="6">
        <f t="shared" si="11"/>
        <v>0.669230769230769</v>
      </c>
      <c r="L14" s="6">
        <f t="shared" si="11"/>
        <v>0.95625</v>
      </c>
      <c r="M14" s="6">
        <f t="shared" si="11"/>
        <v>0.695241572658393</v>
      </c>
      <c r="O14" s="6"/>
      <c r="P14" s="6" t="s">
        <v>58</v>
      </c>
      <c r="Q14" s="31">
        <f>SUMSQ(Q10:Q13)/4</f>
        <v>0.00305625</v>
      </c>
      <c r="R14" s="33">
        <f>SUMSQ(R10:R13)/4</f>
        <v>0.132566917311992</v>
      </c>
      <c r="S14" s="31">
        <f t="shared" ref="R14:Z14" si="12">SUMSQ(S10:S13)/4</f>
        <v>0.0053</v>
      </c>
      <c r="T14" s="31">
        <f t="shared" si="12"/>
        <v>0.168734091842458</v>
      </c>
      <c r="U14" s="31">
        <f t="shared" si="12"/>
        <v>0.00763125</v>
      </c>
      <c r="V14" s="31">
        <f t="shared" si="12"/>
        <v>0.132780089520184</v>
      </c>
      <c r="W14" s="33">
        <f t="shared" si="12"/>
        <v>0.00369375</v>
      </c>
      <c r="X14" s="31">
        <f t="shared" si="12"/>
        <v>0.136458082675871</v>
      </c>
      <c r="Y14" s="31">
        <f t="shared" si="12"/>
        <v>0.91474375</v>
      </c>
      <c r="Z14" s="31">
        <f t="shared" si="12"/>
        <v>0.509983427583644</v>
      </c>
      <c r="AB14" s="1"/>
      <c r="AC14" s="1"/>
      <c r="AD14" s="1"/>
    </row>
    <row r="15" spans="2:30">
      <c r="B15" s="5" t="s">
        <v>33</v>
      </c>
      <c r="C15" s="5" t="s">
        <v>9</v>
      </c>
      <c r="D15" s="5">
        <v>0.925</v>
      </c>
      <c r="E15" s="5">
        <v>0.651162790697674</v>
      </c>
      <c r="F15" s="5">
        <v>0.695</v>
      </c>
      <c r="G15" s="5">
        <v>0.329670329670329</v>
      </c>
      <c r="H15">
        <v>0.84</v>
      </c>
      <c r="I15">
        <v>0.466666666666666</v>
      </c>
      <c r="J15" s="5">
        <v>0.885</v>
      </c>
      <c r="K15" s="18">
        <v>0.549019607843137</v>
      </c>
      <c r="L15" s="19">
        <v>0.96</v>
      </c>
      <c r="M15" s="19">
        <v>0.714285714285714</v>
      </c>
      <c r="O15" s="5" t="s">
        <v>33</v>
      </c>
      <c r="P15" s="5" t="s">
        <v>9</v>
      </c>
      <c r="Q15" s="29">
        <f t="shared" si="1"/>
        <v>-0.0349999999999999</v>
      </c>
      <c r="R15" s="29">
        <f t="shared" si="8"/>
        <v>-0.308837209302326</v>
      </c>
      <c r="S15" s="29">
        <f t="shared" si="2"/>
        <v>-0.265</v>
      </c>
      <c r="T15" s="29">
        <f t="shared" si="3"/>
        <v>-0.630329670329671</v>
      </c>
      <c r="U15" s="29">
        <f t="shared" si="4"/>
        <v>-0.12</v>
      </c>
      <c r="V15" s="29">
        <f t="shared" si="5"/>
        <v>-0.493333333333334</v>
      </c>
      <c r="W15" s="29">
        <f t="shared" si="6"/>
        <v>-0.075</v>
      </c>
      <c r="X15" s="30">
        <f t="shared" si="7"/>
        <v>-0.410980392156863</v>
      </c>
      <c r="Y15" s="19">
        <v>0.96</v>
      </c>
      <c r="Z15" s="19">
        <v>0.714285714285714</v>
      </c>
      <c r="AC15" s="1"/>
      <c r="AD15" s="1"/>
    </row>
    <row r="16" spans="2:30">
      <c r="B16" s="5"/>
      <c r="C16" s="5" t="s">
        <v>10</v>
      </c>
      <c r="D16" s="5">
        <v>0.805</v>
      </c>
      <c r="E16" s="5">
        <v>0.589473684210526</v>
      </c>
      <c r="F16" s="5">
        <v>0.67</v>
      </c>
      <c r="G16" s="5">
        <v>0.5</v>
      </c>
      <c r="H16">
        <v>0.775</v>
      </c>
      <c r="I16">
        <v>0.587155963302752</v>
      </c>
      <c r="J16" s="5">
        <v>0.725</v>
      </c>
      <c r="K16" s="18">
        <v>0.545454545454545</v>
      </c>
      <c r="L16" s="19">
        <v>0.865</v>
      </c>
      <c r="M16" s="19">
        <v>0.649350649350649</v>
      </c>
      <c r="O16" s="5"/>
      <c r="P16" s="5" t="s">
        <v>10</v>
      </c>
      <c r="Q16" s="29">
        <f t="shared" si="1"/>
        <v>-0.0599999999999999</v>
      </c>
      <c r="R16" s="29">
        <f t="shared" si="8"/>
        <v>-0.275526315789474</v>
      </c>
      <c r="S16" s="29">
        <f t="shared" si="2"/>
        <v>-0.195</v>
      </c>
      <c r="T16" s="29">
        <f t="shared" si="3"/>
        <v>-0.365</v>
      </c>
      <c r="U16" s="29">
        <f t="shared" si="4"/>
        <v>-0.09</v>
      </c>
      <c r="V16" s="29">
        <f t="shared" si="5"/>
        <v>-0.277844036697248</v>
      </c>
      <c r="W16" s="29">
        <f t="shared" si="6"/>
        <v>-0.14</v>
      </c>
      <c r="X16" s="30">
        <f t="shared" si="7"/>
        <v>-0.319545454545455</v>
      </c>
      <c r="Y16" s="19">
        <v>0.865</v>
      </c>
      <c r="Z16" s="19">
        <v>0.649350649350649</v>
      </c>
      <c r="AC16" s="1"/>
      <c r="AD16" s="1"/>
    </row>
    <row r="17" spans="2:30">
      <c r="B17" s="5"/>
      <c r="C17" s="5" t="s">
        <v>11</v>
      </c>
      <c r="D17" s="5">
        <v>0.985</v>
      </c>
      <c r="E17" s="5">
        <v>0.769230769230769</v>
      </c>
      <c r="F17" s="5">
        <v>0.94</v>
      </c>
      <c r="G17" s="5">
        <v>0.454545454545454</v>
      </c>
      <c r="H17">
        <v>0.935</v>
      </c>
      <c r="I17">
        <v>0.38095238095238</v>
      </c>
      <c r="J17" s="5">
        <v>0.98</v>
      </c>
      <c r="K17" s="18">
        <v>0.666666666666666</v>
      </c>
      <c r="L17" s="19">
        <v>0.985</v>
      </c>
      <c r="M17" s="19">
        <v>0.727272727272727</v>
      </c>
      <c r="O17" s="5"/>
      <c r="P17" s="5" t="s">
        <v>11</v>
      </c>
      <c r="Q17" s="29">
        <f t="shared" ref="Q17:Q38" si="13">D17-$L17</f>
        <v>0</v>
      </c>
      <c r="R17" s="29">
        <f t="shared" si="8"/>
        <v>-0.215769230769231</v>
      </c>
      <c r="S17" s="29">
        <f t="shared" si="2"/>
        <v>-0.045</v>
      </c>
      <c r="T17" s="29">
        <f t="shared" si="3"/>
        <v>-0.530454545454546</v>
      </c>
      <c r="U17" s="29">
        <f t="shared" si="4"/>
        <v>-0.0499999999999999</v>
      </c>
      <c r="V17" s="29">
        <f t="shared" si="5"/>
        <v>-0.60404761904762</v>
      </c>
      <c r="W17" s="29">
        <f t="shared" si="6"/>
        <v>-0.005</v>
      </c>
      <c r="X17" s="30">
        <f t="shared" si="7"/>
        <v>-0.318333333333334</v>
      </c>
      <c r="Y17" s="19">
        <v>0.985</v>
      </c>
      <c r="Z17" s="19">
        <v>0.727272727272727</v>
      </c>
      <c r="AB17" s="1"/>
      <c r="AC17" s="1"/>
      <c r="AD17" s="1"/>
    </row>
    <row r="18" spans="2:32">
      <c r="B18" s="5"/>
      <c r="C18" s="6" t="s">
        <v>12</v>
      </c>
      <c r="D18" s="6">
        <v>0.895</v>
      </c>
      <c r="E18" s="6">
        <v>0.275862068965517</v>
      </c>
      <c r="F18" s="6">
        <v>0.81</v>
      </c>
      <c r="G18" s="6">
        <v>0.441176470588235</v>
      </c>
      <c r="H18" s="10">
        <v>0.9</v>
      </c>
      <c r="I18" s="10">
        <v>0.565217391304347</v>
      </c>
      <c r="J18" s="6">
        <v>0.89</v>
      </c>
      <c r="K18" s="16">
        <v>0.5</v>
      </c>
      <c r="L18" s="21">
        <v>0.93</v>
      </c>
      <c r="M18" s="21">
        <v>0.666666666666666</v>
      </c>
      <c r="O18" s="5"/>
      <c r="P18" s="6" t="s">
        <v>12</v>
      </c>
      <c r="Q18" s="31">
        <f t="shared" si="13"/>
        <v>-0.035</v>
      </c>
      <c r="R18" s="31">
        <f t="shared" si="8"/>
        <v>-0.654137931034483</v>
      </c>
      <c r="S18" s="31">
        <f t="shared" si="2"/>
        <v>-0.12</v>
      </c>
      <c r="T18" s="31">
        <f t="shared" si="3"/>
        <v>-0.488823529411765</v>
      </c>
      <c r="U18" s="31">
        <f t="shared" si="4"/>
        <v>-0.03</v>
      </c>
      <c r="V18" s="31">
        <f t="shared" si="5"/>
        <v>-0.364782608695653</v>
      </c>
      <c r="W18" s="31">
        <f t="shared" si="6"/>
        <v>-0.04</v>
      </c>
      <c r="X18" s="32">
        <f t="shared" si="7"/>
        <v>-0.43</v>
      </c>
      <c r="Y18" s="21">
        <v>0.93</v>
      </c>
      <c r="Z18" s="21">
        <v>0.666666666666666</v>
      </c>
      <c r="AA18" s="1"/>
      <c r="AB18" s="1"/>
      <c r="AC18"/>
      <c r="AD18"/>
      <c r="AE18" s="1"/>
      <c r="AF18" s="1"/>
    </row>
    <row r="19" ht="14.85" spans="2:29">
      <c r="B19" s="7"/>
      <c r="C19" s="7" t="s">
        <v>31</v>
      </c>
      <c r="D19" s="7">
        <f>AVERAGE(D15:D18)</f>
        <v>0.9025</v>
      </c>
      <c r="E19" s="7">
        <f t="shared" ref="E19:M19" si="14">AVERAGE(E15:E18)</f>
        <v>0.571432328276122</v>
      </c>
      <c r="F19" s="7">
        <f t="shared" si="14"/>
        <v>0.77875</v>
      </c>
      <c r="G19" s="7">
        <f t="shared" si="14"/>
        <v>0.431348063701004</v>
      </c>
      <c r="H19" s="7">
        <f t="shared" si="14"/>
        <v>0.8625</v>
      </c>
      <c r="I19" s="7">
        <f t="shared" si="14"/>
        <v>0.499998100556536</v>
      </c>
      <c r="J19" s="7">
        <f t="shared" si="14"/>
        <v>0.87</v>
      </c>
      <c r="K19" s="7">
        <f t="shared" si="14"/>
        <v>0.565285204991087</v>
      </c>
      <c r="L19" s="7">
        <f t="shared" si="14"/>
        <v>0.935</v>
      </c>
      <c r="M19" s="7">
        <f t="shared" si="14"/>
        <v>0.689393939393939</v>
      </c>
      <c r="O19" s="7"/>
      <c r="P19" s="7" t="s">
        <v>58</v>
      </c>
      <c r="Q19" s="34">
        <f>SUMSQ(Q15:Q18)/4</f>
        <v>0.0015125</v>
      </c>
      <c r="R19" s="35">
        <f t="shared" ref="R19:Z19" si="15">SUMSQ(R15:R18)/4</f>
        <v>0.161436991576747</v>
      </c>
      <c r="S19" s="35">
        <f t="shared" si="15"/>
        <v>0.03116875</v>
      </c>
      <c r="T19" s="35">
        <f t="shared" si="15"/>
        <v>0.262717740249469</v>
      </c>
      <c r="U19" s="35">
        <f t="shared" si="15"/>
        <v>0.006475</v>
      </c>
      <c r="V19" s="35">
        <f t="shared" si="15"/>
        <v>0.204628741047476</v>
      </c>
      <c r="W19" s="35">
        <f t="shared" si="15"/>
        <v>0.0067125</v>
      </c>
      <c r="X19" s="34">
        <f t="shared" si="15"/>
        <v>0.139312572842295</v>
      </c>
      <c r="Y19" s="35">
        <f t="shared" si="15"/>
        <v>0.8762375</v>
      </c>
      <c r="Z19" s="35">
        <f t="shared" si="15"/>
        <v>0.476307602930979</v>
      </c>
      <c r="AB19" s="8">
        <v>0.88</v>
      </c>
      <c r="AC19" s="8">
        <v>0.714285714285714</v>
      </c>
    </row>
    <row r="20" ht="14.85" spans="2:29">
      <c r="B20" s="1" t="s">
        <v>35</v>
      </c>
      <c r="O20" s="1" t="s">
        <v>35</v>
      </c>
      <c r="AB20">
        <v>0.96</v>
      </c>
      <c r="AC20">
        <v>0.733333333333333</v>
      </c>
    </row>
    <row r="21" spans="2:29">
      <c r="B21" s="2" t="s">
        <v>20</v>
      </c>
      <c r="C21" s="2" t="s">
        <v>21</v>
      </c>
      <c r="D21" s="3" t="s">
        <v>22</v>
      </c>
      <c r="E21" s="3"/>
      <c r="F21" s="3"/>
      <c r="G21" s="3"/>
      <c r="H21" s="4" t="s">
        <v>23</v>
      </c>
      <c r="I21" s="4"/>
      <c r="J21" s="3" t="s">
        <v>24</v>
      </c>
      <c r="K21" s="15"/>
      <c r="L21" s="22" t="s">
        <v>25</v>
      </c>
      <c r="M21" s="22"/>
      <c r="O21" s="2" t="s">
        <v>20</v>
      </c>
      <c r="P21" s="2" t="s">
        <v>21</v>
      </c>
      <c r="Q21" s="3" t="s">
        <v>22</v>
      </c>
      <c r="R21" s="3"/>
      <c r="S21" s="3"/>
      <c r="T21" s="3"/>
      <c r="U21" s="4" t="s">
        <v>23</v>
      </c>
      <c r="V21" s="4"/>
      <c r="W21" s="3" t="s">
        <v>24</v>
      </c>
      <c r="X21" s="15"/>
      <c r="Y21" s="4" t="s">
        <v>25</v>
      </c>
      <c r="Z21" s="4"/>
      <c r="AB21">
        <v>0.88</v>
      </c>
      <c r="AC21">
        <v>0.7</v>
      </c>
    </row>
    <row r="22" spans="2:29">
      <c r="B22" s="5"/>
      <c r="C22" s="5"/>
      <c r="D22" s="6" t="s">
        <v>26</v>
      </c>
      <c r="E22" s="6"/>
      <c r="F22" s="6" t="s">
        <v>27</v>
      </c>
      <c r="G22" s="6"/>
      <c r="H22" s="6"/>
      <c r="I22" s="6"/>
      <c r="J22" s="6"/>
      <c r="K22" s="16"/>
      <c r="L22" s="21"/>
      <c r="M22" s="21"/>
      <c r="O22" s="5"/>
      <c r="P22" s="5"/>
      <c r="Q22" s="6" t="s">
        <v>26</v>
      </c>
      <c r="R22" s="6"/>
      <c r="S22" s="6" t="s">
        <v>27</v>
      </c>
      <c r="T22" s="6"/>
      <c r="U22" s="6"/>
      <c r="V22" s="6"/>
      <c r="W22" s="6"/>
      <c r="X22" s="16"/>
      <c r="Y22" s="6"/>
      <c r="Z22" s="6"/>
      <c r="AB22">
        <v>0.7</v>
      </c>
      <c r="AC22">
        <v>0.659090909090909</v>
      </c>
    </row>
    <row r="23" ht="14.85" spans="2:29">
      <c r="B23" s="7"/>
      <c r="C23" s="7"/>
      <c r="D23" s="7" t="s">
        <v>28</v>
      </c>
      <c r="E23" s="7" t="s">
        <v>29</v>
      </c>
      <c r="F23" s="7" t="s">
        <v>28</v>
      </c>
      <c r="G23" s="7" t="s">
        <v>29</v>
      </c>
      <c r="H23" s="7" t="s">
        <v>28</v>
      </c>
      <c r="I23" s="7" t="s">
        <v>29</v>
      </c>
      <c r="J23" s="7" t="s">
        <v>28</v>
      </c>
      <c r="K23" s="17" t="s">
        <v>29</v>
      </c>
      <c r="L23" s="23" t="s">
        <v>28</v>
      </c>
      <c r="M23" s="23" t="s">
        <v>29</v>
      </c>
      <c r="O23" s="7"/>
      <c r="P23" s="7"/>
      <c r="Q23" s="7" t="s">
        <v>28</v>
      </c>
      <c r="R23" s="7" t="s">
        <v>29</v>
      </c>
      <c r="S23" s="7" t="s">
        <v>28</v>
      </c>
      <c r="T23" s="7" t="s">
        <v>29</v>
      </c>
      <c r="U23" s="7" t="s">
        <v>28</v>
      </c>
      <c r="V23" s="7" t="s">
        <v>29</v>
      </c>
      <c r="W23" s="7" t="s">
        <v>28</v>
      </c>
      <c r="X23" s="17" t="s">
        <v>29</v>
      </c>
      <c r="Y23" s="7" t="s">
        <v>28</v>
      </c>
      <c r="Z23" s="7" t="s">
        <v>29</v>
      </c>
      <c r="AB23">
        <v>0.98</v>
      </c>
      <c r="AC23">
        <v>0.875</v>
      </c>
    </row>
    <row r="24" spans="2:29">
      <c r="B24" s="5" t="s">
        <v>30</v>
      </c>
      <c r="C24" s="5" t="s">
        <v>1</v>
      </c>
      <c r="D24" s="5">
        <v>0.885</v>
      </c>
      <c r="E24" s="5">
        <v>0.716049382716049</v>
      </c>
      <c r="F24" s="5">
        <v>0.805</v>
      </c>
      <c r="G24" s="5">
        <v>0.613861386138613</v>
      </c>
      <c r="H24" s="11">
        <v>0.925</v>
      </c>
      <c r="I24" s="11">
        <v>0.788732394366197</v>
      </c>
      <c r="J24" s="5">
        <v>0.865</v>
      </c>
      <c r="K24" s="18">
        <v>0.689655172413793</v>
      </c>
      <c r="L24" s="24">
        <v>0.915</v>
      </c>
      <c r="M24" s="25">
        <v>0.790123456790123</v>
      </c>
      <c r="O24" s="5" t="s">
        <v>30</v>
      </c>
      <c r="P24" s="5" t="s">
        <v>1</v>
      </c>
      <c r="Q24" s="36">
        <f t="shared" si="13"/>
        <v>-0.03</v>
      </c>
      <c r="R24" s="36">
        <f t="shared" ref="R23:R38" si="16">E24-$L24</f>
        <v>-0.198950617283951</v>
      </c>
      <c r="S24" s="36">
        <f t="shared" ref="S22:S38" si="17">F24-$L24</f>
        <v>-0.11</v>
      </c>
      <c r="T24" s="36">
        <f t="shared" ref="T23:T38" si="18">G24-$L24</f>
        <v>-0.301138613861387</v>
      </c>
      <c r="U24" s="36">
        <f t="shared" ref="U24:U38" si="19">H24-$L24</f>
        <v>0.01</v>
      </c>
      <c r="V24" s="36">
        <f t="shared" ref="V24:V38" si="20">I24-$L24</f>
        <v>-0.126267605633803</v>
      </c>
      <c r="W24" s="37">
        <f t="shared" ref="W23:W38" si="21">J24-$L24</f>
        <v>-0.05</v>
      </c>
      <c r="X24" s="38">
        <f t="shared" ref="X23:X38" si="22">K24-$L24</f>
        <v>-0.225344827586207</v>
      </c>
      <c r="Y24" s="48">
        <v>0.915</v>
      </c>
      <c r="Z24" s="49">
        <v>0.790123456790123</v>
      </c>
      <c r="AB24">
        <v>0.955</v>
      </c>
      <c r="AC24">
        <v>0.666666666666666</v>
      </c>
    </row>
    <row r="25" spans="2:29">
      <c r="B25" s="5"/>
      <c r="C25" s="5" t="s">
        <v>2</v>
      </c>
      <c r="D25" s="5">
        <v>0.94</v>
      </c>
      <c r="E25" s="5">
        <v>0.454545454545454</v>
      </c>
      <c r="F25" s="5">
        <v>0.92</v>
      </c>
      <c r="G25" s="5">
        <v>0.529411764705882</v>
      </c>
      <c r="H25" s="11">
        <v>0.95</v>
      </c>
      <c r="I25" s="11">
        <v>0.615384615384615</v>
      </c>
      <c r="J25" s="5">
        <v>0.94</v>
      </c>
      <c r="K25" s="18">
        <v>0.5</v>
      </c>
      <c r="L25" s="24">
        <v>0.955</v>
      </c>
      <c r="M25" s="24">
        <v>0.64</v>
      </c>
      <c r="O25" s="5"/>
      <c r="P25" s="5" t="s">
        <v>2</v>
      </c>
      <c r="Q25" s="36">
        <f t="shared" si="13"/>
        <v>-0.015</v>
      </c>
      <c r="R25" s="36">
        <f t="shared" si="16"/>
        <v>-0.500454545454546</v>
      </c>
      <c r="S25" s="36">
        <f t="shared" si="17"/>
        <v>-0.0349999999999999</v>
      </c>
      <c r="T25" s="36">
        <f t="shared" si="18"/>
        <v>-0.425588235294118</v>
      </c>
      <c r="U25" s="36">
        <f t="shared" si="19"/>
        <v>-0.005</v>
      </c>
      <c r="V25" s="36">
        <f t="shared" si="20"/>
        <v>-0.339615384615385</v>
      </c>
      <c r="W25" s="37">
        <f t="shared" si="21"/>
        <v>-0.015</v>
      </c>
      <c r="X25" s="38">
        <f t="shared" si="22"/>
        <v>-0.455</v>
      </c>
      <c r="Y25" s="48">
        <v>0.955</v>
      </c>
      <c r="Z25" s="48">
        <v>0.64</v>
      </c>
      <c r="AB25">
        <v>0.86</v>
      </c>
      <c r="AC25">
        <v>0.391304347826086</v>
      </c>
    </row>
    <row r="26" spans="2:29">
      <c r="B26" s="5"/>
      <c r="C26" s="5" t="s">
        <v>3</v>
      </c>
      <c r="D26" s="5">
        <v>0.86</v>
      </c>
      <c r="E26" s="5">
        <v>0.641025641025641</v>
      </c>
      <c r="F26" s="5">
        <v>0.85</v>
      </c>
      <c r="G26" s="5">
        <v>0.571428571428571</v>
      </c>
      <c r="H26" s="11">
        <v>0.87</v>
      </c>
      <c r="I26" s="11">
        <v>0.666666666666666</v>
      </c>
      <c r="J26" s="5">
        <v>0.88</v>
      </c>
      <c r="K26" s="18">
        <v>0.720930232558139</v>
      </c>
      <c r="L26" s="24">
        <v>0.89</v>
      </c>
      <c r="M26" s="24">
        <v>0.755555555555555</v>
      </c>
      <c r="O26" s="5"/>
      <c r="P26" s="5" t="s">
        <v>3</v>
      </c>
      <c r="Q26" s="36">
        <f t="shared" si="13"/>
        <v>-0.03</v>
      </c>
      <c r="R26" s="36">
        <f t="shared" si="16"/>
        <v>-0.248974358974359</v>
      </c>
      <c r="S26" s="36">
        <f t="shared" si="17"/>
        <v>-0.04</v>
      </c>
      <c r="T26" s="36">
        <f t="shared" si="18"/>
        <v>-0.318571428571429</v>
      </c>
      <c r="U26" s="36">
        <f t="shared" si="19"/>
        <v>-0.02</v>
      </c>
      <c r="V26" s="36">
        <f t="shared" si="20"/>
        <v>-0.223333333333334</v>
      </c>
      <c r="W26" s="37">
        <f t="shared" si="21"/>
        <v>-0.01</v>
      </c>
      <c r="X26" s="38">
        <f t="shared" si="22"/>
        <v>-0.169069767441861</v>
      </c>
      <c r="Y26" s="48">
        <v>0.89</v>
      </c>
      <c r="Z26" s="48">
        <v>0.755555555555555</v>
      </c>
      <c r="AB26">
        <v>0.935</v>
      </c>
      <c r="AC26">
        <v>0.816901408450704</v>
      </c>
    </row>
    <row r="27" spans="2:29">
      <c r="B27" s="5"/>
      <c r="C27" s="6" t="s">
        <v>4</v>
      </c>
      <c r="D27" s="6">
        <v>0.6</v>
      </c>
      <c r="E27" s="6">
        <v>0.6</v>
      </c>
      <c r="F27" s="6">
        <v>0.71</v>
      </c>
      <c r="G27" s="6">
        <v>0.658823529411764</v>
      </c>
      <c r="H27" s="11">
        <v>0.7</v>
      </c>
      <c r="I27" s="11">
        <v>0.662921348314606</v>
      </c>
      <c r="J27" s="6">
        <v>0.675</v>
      </c>
      <c r="K27" s="16">
        <v>0.644808743169399</v>
      </c>
      <c r="L27" s="26">
        <v>0.86</v>
      </c>
      <c r="M27" s="26">
        <v>0.777777777777777</v>
      </c>
      <c r="O27" s="5"/>
      <c r="P27" s="6" t="s">
        <v>4</v>
      </c>
      <c r="Q27" s="39">
        <f t="shared" si="13"/>
        <v>-0.26</v>
      </c>
      <c r="R27" s="39">
        <f t="shared" si="16"/>
        <v>-0.26</v>
      </c>
      <c r="S27" s="39">
        <f t="shared" si="17"/>
        <v>-0.15</v>
      </c>
      <c r="T27" s="39">
        <f t="shared" si="18"/>
        <v>-0.201176470588236</v>
      </c>
      <c r="U27" s="39">
        <f t="shared" si="19"/>
        <v>-0.16</v>
      </c>
      <c r="V27" s="39">
        <f t="shared" si="20"/>
        <v>-0.197078651685394</v>
      </c>
      <c r="W27" s="40">
        <f t="shared" si="21"/>
        <v>-0.185</v>
      </c>
      <c r="X27" s="41">
        <f t="shared" si="22"/>
        <v>-0.215191256830601</v>
      </c>
      <c r="Y27" s="50">
        <v>0.86</v>
      </c>
      <c r="Z27" s="50">
        <v>0.777777777777777</v>
      </c>
      <c r="AB27">
        <v>0.92</v>
      </c>
      <c r="AC27">
        <v>0.652173913043478</v>
      </c>
    </row>
    <row r="28" spans="2:29">
      <c r="B28" s="6"/>
      <c r="C28" s="6" t="s">
        <v>31</v>
      </c>
      <c r="D28" s="6">
        <f t="shared" ref="D28:M28" si="23">AVERAGE(D24:D27)</f>
        <v>0.82125</v>
      </c>
      <c r="E28" s="6">
        <f t="shared" si="23"/>
        <v>0.602905119571786</v>
      </c>
      <c r="F28" s="6">
        <f t="shared" si="23"/>
        <v>0.82125</v>
      </c>
      <c r="G28" s="6">
        <f t="shared" si="23"/>
        <v>0.593381312921207</v>
      </c>
      <c r="H28" s="12">
        <f t="shared" si="23"/>
        <v>0.86125</v>
      </c>
      <c r="I28" s="12">
        <f t="shared" si="23"/>
        <v>0.683426256183021</v>
      </c>
      <c r="J28" s="6">
        <f t="shared" si="23"/>
        <v>0.84</v>
      </c>
      <c r="K28" s="16">
        <f t="shared" si="23"/>
        <v>0.638848537035333</v>
      </c>
      <c r="L28" s="6">
        <f t="shared" si="23"/>
        <v>0.905</v>
      </c>
      <c r="M28" s="6">
        <f t="shared" si="23"/>
        <v>0.740864197530864</v>
      </c>
      <c r="O28" s="6"/>
      <c r="P28" s="6" t="s">
        <v>58</v>
      </c>
      <c r="Q28" s="39">
        <f>SUMSQ(Q24:Q27)/4</f>
        <v>0.01740625</v>
      </c>
      <c r="R28" s="39">
        <f t="shared" ref="R28:Z28" si="24">SUMSQ(R24:R27)/4</f>
        <v>0.104906082902619</v>
      </c>
      <c r="S28" s="39">
        <f t="shared" si="24"/>
        <v>0.00935625</v>
      </c>
      <c r="T28" s="39">
        <f t="shared" si="24"/>
        <v>0.103442384549875</v>
      </c>
      <c r="U28" s="39">
        <f t="shared" si="24"/>
        <v>0.00653125</v>
      </c>
      <c r="V28" s="42">
        <f t="shared" si="24"/>
        <v>0.0549999726069651</v>
      </c>
      <c r="W28" s="43">
        <f t="shared" si="24"/>
        <v>0.0092625</v>
      </c>
      <c r="X28" s="40">
        <f t="shared" si="24"/>
        <v>0.083174288649759</v>
      </c>
      <c r="Y28" s="39">
        <f t="shared" si="24"/>
        <v>0.8202375</v>
      </c>
      <c r="Z28" s="39">
        <f t="shared" si="24"/>
        <v>0.552424386526443</v>
      </c>
      <c r="AB28">
        <v>0.825</v>
      </c>
      <c r="AC28">
        <v>0</v>
      </c>
    </row>
    <row r="29" spans="2:29">
      <c r="B29" s="5" t="s">
        <v>32</v>
      </c>
      <c r="C29" s="5" t="s">
        <v>5</v>
      </c>
      <c r="D29" s="5">
        <v>0.985</v>
      </c>
      <c r="E29" s="5">
        <v>0.903225806451612</v>
      </c>
      <c r="F29" s="5">
        <v>0.975</v>
      </c>
      <c r="G29" s="5">
        <v>0.848484848484848</v>
      </c>
      <c r="H29" s="11">
        <v>0.985</v>
      </c>
      <c r="I29" s="11">
        <v>0.903225806451612</v>
      </c>
      <c r="J29" s="5">
        <v>0.98</v>
      </c>
      <c r="K29" s="18">
        <v>0.875</v>
      </c>
      <c r="L29" s="24">
        <v>0.99</v>
      </c>
      <c r="M29" s="24">
        <v>0.933333333333333</v>
      </c>
      <c r="O29" s="5" t="s">
        <v>32</v>
      </c>
      <c r="P29" s="5" t="s">
        <v>5</v>
      </c>
      <c r="Q29" s="36">
        <f t="shared" si="13"/>
        <v>-0.005</v>
      </c>
      <c r="R29" s="36">
        <f t="shared" si="16"/>
        <v>-0.086774193548388</v>
      </c>
      <c r="S29" s="36">
        <f t="shared" si="17"/>
        <v>-0.015</v>
      </c>
      <c r="T29" s="36">
        <f t="shared" si="18"/>
        <v>-0.141515151515152</v>
      </c>
      <c r="U29" s="36">
        <f t="shared" si="19"/>
        <v>-0.005</v>
      </c>
      <c r="V29" s="36">
        <f t="shared" si="20"/>
        <v>-0.086774193548388</v>
      </c>
      <c r="W29" s="37">
        <f t="shared" si="21"/>
        <v>-0.01</v>
      </c>
      <c r="X29" s="38">
        <f t="shared" si="22"/>
        <v>-0.115</v>
      </c>
      <c r="Y29" s="48">
        <v>0.99</v>
      </c>
      <c r="Z29" s="48">
        <v>0.933333333333333</v>
      </c>
      <c r="AB29">
        <v>0.97</v>
      </c>
      <c r="AC29">
        <v>0.625</v>
      </c>
    </row>
    <row r="30" spans="2:29">
      <c r="B30" s="5"/>
      <c r="C30" s="5" t="s">
        <v>6</v>
      </c>
      <c r="D30" s="5">
        <v>0.93</v>
      </c>
      <c r="E30" s="5">
        <v>0.588235294117647</v>
      </c>
      <c r="F30" s="5">
        <v>0.91</v>
      </c>
      <c r="G30" s="5">
        <v>0.5</v>
      </c>
      <c r="H30" s="11">
        <v>0.945</v>
      </c>
      <c r="I30" s="11">
        <v>0.64516129032258</v>
      </c>
      <c r="J30" s="5">
        <v>0.93</v>
      </c>
      <c r="K30" s="18">
        <v>0.5625</v>
      </c>
      <c r="L30" s="24">
        <v>0.95</v>
      </c>
      <c r="M30" s="24">
        <v>0.5</v>
      </c>
      <c r="O30" s="5"/>
      <c r="P30" s="5" t="s">
        <v>6</v>
      </c>
      <c r="Q30" s="36">
        <f t="shared" si="13"/>
        <v>-0.0199999999999999</v>
      </c>
      <c r="R30" s="36">
        <f t="shared" si="16"/>
        <v>-0.361764705882353</v>
      </c>
      <c r="S30" s="36">
        <f t="shared" si="17"/>
        <v>-0.0399999999999999</v>
      </c>
      <c r="T30" s="36">
        <f t="shared" si="18"/>
        <v>-0.45</v>
      </c>
      <c r="U30" s="36">
        <f t="shared" si="19"/>
        <v>-0.005</v>
      </c>
      <c r="V30" s="36">
        <f t="shared" si="20"/>
        <v>-0.30483870967742</v>
      </c>
      <c r="W30" s="37">
        <f t="shared" si="21"/>
        <v>-0.0199999999999999</v>
      </c>
      <c r="X30" s="38">
        <f t="shared" si="22"/>
        <v>-0.3875</v>
      </c>
      <c r="Y30" s="48">
        <v>0.95</v>
      </c>
      <c r="Z30" s="48">
        <v>0.5</v>
      </c>
      <c r="AB30">
        <v>0.915</v>
      </c>
      <c r="AC30">
        <v>0.514285714285714</v>
      </c>
    </row>
    <row r="31" spans="2:26">
      <c r="B31" s="5"/>
      <c r="C31" s="5" t="s">
        <v>7</v>
      </c>
      <c r="D31" s="5">
        <v>0.795</v>
      </c>
      <c r="E31" s="5">
        <v>0.327868852459016</v>
      </c>
      <c r="F31" s="5">
        <v>0.885</v>
      </c>
      <c r="G31" s="5">
        <v>0.465116279069767</v>
      </c>
      <c r="H31" s="11">
        <v>0.805</v>
      </c>
      <c r="I31" s="11">
        <v>0.31578947368421</v>
      </c>
      <c r="J31" s="5">
        <v>0.86</v>
      </c>
      <c r="K31" s="18">
        <v>0.391304347826087</v>
      </c>
      <c r="L31" s="24">
        <v>0.945</v>
      </c>
      <c r="M31" s="24">
        <v>0.476190476190476</v>
      </c>
      <c r="O31" s="5"/>
      <c r="P31" s="5" t="s">
        <v>7</v>
      </c>
      <c r="Q31" s="36">
        <f t="shared" si="13"/>
        <v>-0.15</v>
      </c>
      <c r="R31" s="36">
        <f t="shared" si="16"/>
        <v>-0.617131147540984</v>
      </c>
      <c r="S31" s="36">
        <f t="shared" si="17"/>
        <v>-0.0599999999999999</v>
      </c>
      <c r="T31" s="36">
        <f t="shared" si="18"/>
        <v>-0.479883720930233</v>
      </c>
      <c r="U31" s="36">
        <f t="shared" si="19"/>
        <v>-0.14</v>
      </c>
      <c r="V31" s="36">
        <f t="shared" si="20"/>
        <v>-0.62921052631579</v>
      </c>
      <c r="W31" s="37">
        <f t="shared" si="21"/>
        <v>-0.085</v>
      </c>
      <c r="X31" s="38">
        <f t="shared" si="22"/>
        <v>-0.553695652173913</v>
      </c>
      <c r="Y31" s="48">
        <v>0.945</v>
      </c>
      <c r="Z31" s="48">
        <v>0.476190476190476</v>
      </c>
    </row>
    <row r="32" spans="2:26">
      <c r="B32" s="5"/>
      <c r="C32" s="6" t="s">
        <v>8</v>
      </c>
      <c r="D32" s="6">
        <v>0.925</v>
      </c>
      <c r="E32" s="6">
        <v>0.782608695652174</v>
      </c>
      <c r="F32" s="6">
        <v>0.865</v>
      </c>
      <c r="G32" s="6">
        <v>0.68235294117647</v>
      </c>
      <c r="H32" s="11">
        <v>0.875</v>
      </c>
      <c r="I32" s="11">
        <v>0.712643678160919</v>
      </c>
      <c r="J32" s="6">
        <v>0.895</v>
      </c>
      <c r="K32" s="16">
        <v>0.74074074074074</v>
      </c>
      <c r="L32" s="26">
        <v>0.91</v>
      </c>
      <c r="M32" s="26">
        <v>0.742857142857142</v>
      </c>
      <c r="O32" s="5"/>
      <c r="P32" s="6" t="s">
        <v>8</v>
      </c>
      <c r="Q32" s="39">
        <f t="shared" si="13"/>
        <v>0.015</v>
      </c>
      <c r="R32" s="39">
        <f t="shared" si="16"/>
        <v>-0.127391304347826</v>
      </c>
      <c r="S32" s="39">
        <f t="shared" si="17"/>
        <v>-0.045</v>
      </c>
      <c r="T32" s="39">
        <f t="shared" si="18"/>
        <v>-0.22764705882353</v>
      </c>
      <c r="U32" s="39">
        <f t="shared" si="19"/>
        <v>-0.035</v>
      </c>
      <c r="V32" s="39">
        <f t="shared" si="20"/>
        <v>-0.197356321839081</v>
      </c>
      <c r="W32" s="40">
        <f t="shared" si="21"/>
        <v>-0.015</v>
      </c>
      <c r="X32" s="41">
        <f t="shared" si="22"/>
        <v>-0.16925925925926</v>
      </c>
      <c r="Y32" s="50">
        <v>0.91</v>
      </c>
      <c r="Z32" s="50">
        <v>0.742857142857142</v>
      </c>
    </row>
    <row r="33" spans="2:26">
      <c r="B33" s="6"/>
      <c r="C33" s="6" t="s">
        <v>31</v>
      </c>
      <c r="D33" s="6">
        <f t="shared" ref="D33:M33" si="25">AVERAGE(D29:D32)</f>
        <v>0.90875</v>
      </c>
      <c r="E33" s="6">
        <f t="shared" si="25"/>
        <v>0.650484662170112</v>
      </c>
      <c r="F33" s="6">
        <f t="shared" si="25"/>
        <v>0.90875</v>
      </c>
      <c r="G33" s="6">
        <f t="shared" si="25"/>
        <v>0.623988517182771</v>
      </c>
      <c r="H33" s="12">
        <f t="shared" si="25"/>
        <v>0.9025</v>
      </c>
      <c r="I33" s="12">
        <f t="shared" si="25"/>
        <v>0.64420506215483</v>
      </c>
      <c r="J33" s="6">
        <f t="shared" si="25"/>
        <v>0.91625</v>
      </c>
      <c r="K33" s="6">
        <f t="shared" si="25"/>
        <v>0.642386272141707</v>
      </c>
      <c r="L33" s="6">
        <f t="shared" si="25"/>
        <v>0.94875</v>
      </c>
      <c r="M33" s="6">
        <f t="shared" si="25"/>
        <v>0.663095238095238</v>
      </c>
      <c r="O33" s="6"/>
      <c r="P33" s="6" t="s">
        <v>58</v>
      </c>
      <c r="Q33" s="39">
        <f>SUMSQ(Q29:Q32)/4</f>
        <v>0.0057875</v>
      </c>
      <c r="R33" s="39">
        <f t="shared" ref="R33:X33" si="26">SUMSQ(R29:R32)/4</f>
        <v>0.133870715194203</v>
      </c>
      <c r="S33" s="39">
        <f t="shared" si="26"/>
        <v>0.0018625</v>
      </c>
      <c r="T33" s="39">
        <f t="shared" si="26"/>
        <v>0.126159526778302</v>
      </c>
      <c r="U33" s="39">
        <f t="shared" si="26"/>
        <v>0.00521875</v>
      </c>
      <c r="V33" s="39">
        <f t="shared" si="26"/>
        <v>0.133827950945053</v>
      </c>
      <c r="W33" s="42">
        <f t="shared" si="26"/>
        <v>0.0019875</v>
      </c>
      <c r="X33" s="42">
        <f t="shared" si="26"/>
        <v>0.124652205520322</v>
      </c>
      <c r="Y33" s="6">
        <f>AVERAGE(Y29:Y32)</f>
        <v>0.94875</v>
      </c>
      <c r="Z33" s="6">
        <f>AVERAGE(Z29:Z32)</f>
        <v>0.663095238095238</v>
      </c>
    </row>
    <row r="34" spans="2:26">
      <c r="B34" s="5" t="s">
        <v>33</v>
      </c>
      <c r="C34" s="5" t="s">
        <v>9</v>
      </c>
      <c r="D34" s="5">
        <v>0.92</v>
      </c>
      <c r="E34" s="5">
        <v>0.652173913043478</v>
      </c>
      <c r="F34" s="5">
        <v>0.755</v>
      </c>
      <c r="G34" s="5">
        <v>0.363636363636363</v>
      </c>
      <c r="H34" s="11">
        <v>0.85</v>
      </c>
      <c r="I34" s="11">
        <v>0.482758620689655</v>
      </c>
      <c r="J34" s="5">
        <v>0.91</v>
      </c>
      <c r="K34" s="18">
        <v>0.608695652173913</v>
      </c>
      <c r="L34" s="24">
        <v>0.96</v>
      </c>
      <c r="M34" s="24">
        <v>0.692307692307692</v>
      </c>
      <c r="O34" s="5" t="s">
        <v>33</v>
      </c>
      <c r="P34" s="5" t="s">
        <v>9</v>
      </c>
      <c r="Q34" s="36">
        <f t="shared" si="13"/>
        <v>-0.0399999999999999</v>
      </c>
      <c r="R34" s="36">
        <f t="shared" si="16"/>
        <v>-0.307826086956522</v>
      </c>
      <c r="S34" s="36">
        <f t="shared" si="17"/>
        <v>-0.205</v>
      </c>
      <c r="T34" s="36">
        <f t="shared" si="18"/>
        <v>-0.596363636363637</v>
      </c>
      <c r="U34" s="36">
        <f t="shared" si="19"/>
        <v>-0.11</v>
      </c>
      <c r="V34" s="36">
        <f t="shared" si="20"/>
        <v>-0.477241379310345</v>
      </c>
      <c r="W34" s="37">
        <f t="shared" si="21"/>
        <v>-0.0499999999999999</v>
      </c>
      <c r="X34" s="38">
        <f t="shared" si="22"/>
        <v>-0.351304347826087</v>
      </c>
      <c r="Y34" s="48">
        <v>0.96</v>
      </c>
      <c r="Z34" s="48">
        <v>0.692307692307692</v>
      </c>
    </row>
    <row r="35" spans="2:26">
      <c r="B35" s="5"/>
      <c r="C35" s="5" t="s">
        <v>10</v>
      </c>
      <c r="D35" s="5">
        <v>0.825</v>
      </c>
      <c r="E35" s="5">
        <v>0.623655913978494</v>
      </c>
      <c r="F35" s="5">
        <v>0.66</v>
      </c>
      <c r="G35" s="5">
        <v>0.46875</v>
      </c>
      <c r="H35" s="11">
        <v>0.76</v>
      </c>
      <c r="I35" s="11">
        <v>0.555555555555555</v>
      </c>
      <c r="J35" s="5">
        <v>0.72</v>
      </c>
      <c r="K35" s="18">
        <v>0.525423728813559</v>
      </c>
      <c r="L35" s="24">
        <v>0.89</v>
      </c>
      <c r="M35" s="24">
        <v>0.717948717948718</v>
      </c>
      <c r="O35" s="5"/>
      <c r="P35" s="5" t="s">
        <v>10</v>
      </c>
      <c r="Q35" s="36">
        <f t="shared" si="13"/>
        <v>-0.0650000000000001</v>
      </c>
      <c r="R35" s="36">
        <f t="shared" si="16"/>
        <v>-0.266344086021506</v>
      </c>
      <c r="S35" s="36">
        <f t="shared" si="17"/>
        <v>-0.23</v>
      </c>
      <c r="T35" s="36">
        <f t="shared" si="18"/>
        <v>-0.42125</v>
      </c>
      <c r="U35" s="36">
        <f t="shared" si="19"/>
        <v>-0.13</v>
      </c>
      <c r="V35" s="36">
        <f t="shared" si="20"/>
        <v>-0.334444444444445</v>
      </c>
      <c r="W35" s="37">
        <f t="shared" si="21"/>
        <v>-0.17</v>
      </c>
      <c r="X35" s="38">
        <f t="shared" si="22"/>
        <v>-0.364576271186441</v>
      </c>
      <c r="Y35" s="48">
        <v>0.89</v>
      </c>
      <c r="Z35" s="48">
        <v>0.717948717948718</v>
      </c>
    </row>
    <row r="36" spans="2:26">
      <c r="B36" s="5"/>
      <c r="C36" s="5" t="s">
        <v>11</v>
      </c>
      <c r="D36" s="5">
        <v>0.985</v>
      </c>
      <c r="E36" s="5">
        <v>0.769230769230769</v>
      </c>
      <c r="F36" s="5">
        <v>0.92</v>
      </c>
      <c r="G36" s="5">
        <v>0.384615384615384</v>
      </c>
      <c r="H36" s="11">
        <v>0.95</v>
      </c>
      <c r="I36" s="11">
        <v>0.5</v>
      </c>
      <c r="J36" s="5">
        <v>0.97</v>
      </c>
      <c r="K36" s="18">
        <v>0.625</v>
      </c>
      <c r="L36" s="24">
        <v>0.99</v>
      </c>
      <c r="M36" s="24">
        <v>0.833333333333333</v>
      </c>
      <c r="O36" s="5"/>
      <c r="P36" s="5" t="s">
        <v>11</v>
      </c>
      <c r="Q36" s="36">
        <f t="shared" si="13"/>
        <v>-0.005</v>
      </c>
      <c r="R36" s="36">
        <f t="shared" si="16"/>
        <v>-0.220769230769231</v>
      </c>
      <c r="S36" s="36">
        <f t="shared" si="17"/>
        <v>-0.07</v>
      </c>
      <c r="T36" s="36">
        <f t="shared" si="18"/>
        <v>-0.605384615384616</v>
      </c>
      <c r="U36" s="36">
        <f t="shared" si="19"/>
        <v>-0.04</v>
      </c>
      <c r="V36" s="36">
        <f t="shared" si="20"/>
        <v>-0.49</v>
      </c>
      <c r="W36" s="37">
        <f t="shared" si="21"/>
        <v>-0.02</v>
      </c>
      <c r="X36" s="38">
        <f t="shared" si="22"/>
        <v>-0.365</v>
      </c>
      <c r="Y36" s="48">
        <v>0.99</v>
      </c>
      <c r="Z36" s="48">
        <v>0.833333333333333</v>
      </c>
    </row>
    <row r="37" spans="2:26">
      <c r="B37" s="5"/>
      <c r="C37" s="6" t="s">
        <v>12</v>
      </c>
      <c r="D37" s="6">
        <v>0.89</v>
      </c>
      <c r="E37" s="6">
        <v>0.214285714285714</v>
      </c>
      <c r="F37" s="6">
        <v>0.8</v>
      </c>
      <c r="G37" s="6">
        <v>0.428571428571428</v>
      </c>
      <c r="H37" s="13">
        <v>0.905</v>
      </c>
      <c r="I37" s="13">
        <v>0.577777777777777</v>
      </c>
      <c r="J37" s="6">
        <v>0.91</v>
      </c>
      <c r="K37" s="16">
        <v>0.571428571428571</v>
      </c>
      <c r="L37" s="26">
        <v>0.925</v>
      </c>
      <c r="M37" s="26">
        <v>0.615384615384615</v>
      </c>
      <c r="O37" s="5"/>
      <c r="P37" s="6" t="s">
        <v>12</v>
      </c>
      <c r="Q37" s="39">
        <f t="shared" si="13"/>
        <v>-0.035</v>
      </c>
      <c r="R37" s="39">
        <f t="shared" si="16"/>
        <v>-0.710714285714286</v>
      </c>
      <c r="S37" s="39">
        <f t="shared" si="17"/>
        <v>-0.125</v>
      </c>
      <c r="T37" s="39">
        <f t="shared" si="18"/>
        <v>-0.496428571428572</v>
      </c>
      <c r="U37" s="39">
        <f t="shared" si="19"/>
        <v>-0.02</v>
      </c>
      <c r="V37" s="39">
        <f t="shared" si="20"/>
        <v>-0.347222222222223</v>
      </c>
      <c r="W37" s="40">
        <f t="shared" si="21"/>
        <v>-0.015</v>
      </c>
      <c r="X37" s="41">
        <f t="shared" si="22"/>
        <v>-0.353571428571429</v>
      </c>
      <c r="Y37" s="50">
        <v>0.925</v>
      </c>
      <c r="Z37" s="50">
        <v>0.615384615384615</v>
      </c>
    </row>
    <row r="38" ht="14.85" spans="2:26">
      <c r="B38" s="7"/>
      <c r="C38" s="7" t="s">
        <v>31</v>
      </c>
      <c r="D38" s="7">
        <f>AVERAGE(D34:D37)</f>
        <v>0.905</v>
      </c>
      <c r="E38" s="7">
        <f t="shared" ref="E38:M38" si="27">AVERAGE(E34:E37)</f>
        <v>0.564836577634614</v>
      </c>
      <c r="F38" s="7">
        <f t="shared" si="27"/>
        <v>0.78375</v>
      </c>
      <c r="G38" s="7">
        <f t="shared" si="27"/>
        <v>0.411393294205794</v>
      </c>
      <c r="H38" s="14">
        <f t="shared" si="27"/>
        <v>0.86625</v>
      </c>
      <c r="I38" s="14">
        <f t="shared" si="27"/>
        <v>0.529022988505747</v>
      </c>
      <c r="J38" s="7">
        <f t="shared" si="27"/>
        <v>0.8775</v>
      </c>
      <c r="K38" s="7">
        <f t="shared" si="27"/>
        <v>0.582636988104011</v>
      </c>
      <c r="L38" s="7">
        <f t="shared" si="27"/>
        <v>0.94125</v>
      </c>
      <c r="M38" s="7">
        <f t="shared" si="27"/>
        <v>0.714743589743589</v>
      </c>
      <c r="O38" s="7"/>
      <c r="P38" s="7" t="s">
        <v>58</v>
      </c>
      <c r="Q38" s="44">
        <f>SUMSQ(Q34:Q37)/4</f>
        <v>0.00176875</v>
      </c>
      <c r="R38" s="45">
        <f t="shared" ref="R38:X38" si="28">SUMSQ(R34:R37)/4</f>
        <v>0.1798874802856</v>
      </c>
      <c r="S38" s="45">
        <f t="shared" si="28"/>
        <v>0.0288625</v>
      </c>
      <c r="T38" s="45">
        <f t="shared" si="28"/>
        <v>0.286508252087963</v>
      </c>
      <c r="U38" s="45">
        <f t="shared" si="28"/>
        <v>0.00775</v>
      </c>
      <c r="V38" s="45">
        <f t="shared" si="28"/>
        <v>0.175068923037683</v>
      </c>
      <c r="W38" s="45">
        <f t="shared" si="28"/>
        <v>0.00800625</v>
      </c>
      <c r="X38" s="44">
        <f t="shared" si="28"/>
        <v>0.128642089353941</v>
      </c>
      <c r="Y38" s="7">
        <f>AVERAGE(Y34:Y37)</f>
        <v>0.94125</v>
      </c>
      <c r="Z38" s="7">
        <f>AVERAGE(Z34:Z37)</f>
        <v>0.714743589743589</v>
      </c>
    </row>
    <row r="39" spans="17:24">
      <c r="Q39" s="46">
        <v>0.00832083333333333</v>
      </c>
      <c r="R39" s="46">
        <v>0.139554759460807</v>
      </c>
      <c r="S39" s="46">
        <v>0.0133604166666667</v>
      </c>
      <c r="T39" s="46">
        <v>0.172036721138713</v>
      </c>
      <c r="U39" s="46">
        <v>0.0065</v>
      </c>
      <c r="V39" s="46">
        <v>0.121298948863234</v>
      </c>
      <c r="W39" s="46">
        <v>0.00641875</v>
      </c>
      <c r="X39" s="46">
        <v>0.112156194508007</v>
      </c>
    </row>
    <row r="44" spans="3:16">
      <c r="C44" s="1" t="s">
        <v>15</v>
      </c>
      <c r="P44" s="1" t="s">
        <v>15</v>
      </c>
    </row>
    <row r="45" spans="2:26">
      <c r="B45" s="1" t="s">
        <v>59</v>
      </c>
      <c r="C45" s="8">
        <v>0.955</v>
      </c>
      <c r="D45" s="1">
        <v>0.94</v>
      </c>
      <c r="E45" s="1">
        <v>0.89</v>
      </c>
      <c r="F45" s="1">
        <v>0.87</v>
      </c>
      <c r="G45" s="1">
        <v>0.985</v>
      </c>
      <c r="H45" s="1">
        <v>0.95</v>
      </c>
      <c r="I45" s="1">
        <v>0.955</v>
      </c>
      <c r="J45" s="1">
        <v>0.935</v>
      </c>
      <c r="K45" s="1">
        <v>0.96</v>
      </c>
      <c r="L45" s="1">
        <v>0.865</v>
      </c>
      <c r="M45" s="1">
        <v>0.985</v>
      </c>
      <c r="N45">
        <v>0.93</v>
      </c>
      <c r="O45" s="1" t="s">
        <v>59</v>
      </c>
      <c r="P45" s="8">
        <v>0.955</v>
      </c>
      <c r="Q45" s="1">
        <v>0.94</v>
      </c>
      <c r="R45" s="1">
        <v>0.89</v>
      </c>
      <c r="S45" s="1">
        <v>0.87</v>
      </c>
      <c r="T45" s="1">
        <v>0.985</v>
      </c>
      <c r="U45" s="1">
        <v>0.95</v>
      </c>
      <c r="V45" s="1">
        <v>0.955</v>
      </c>
      <c r="W45" s="1">
        <v>0.935</v>
      </c>
      <c r="X45" s="1">
        <v>0.96</v>
      </c>
      <c r="Y45" s="1">
        <v>0.865</v>
      </c>
      <c r="Z45" s="1">
        <v>0.985</v>
      </c>
    </row>
    <row r="46" spans="2:26">
      <c r="B46" s="1" t="s">
        <v>60</v>
      </c>
      <c r="C46" s="8">
        <v>0.869565217391304</v>
      </c>
      <c r="D46" s="1">
        <v>0.538461538461538</v>
      </c>
      <c r="E46" s="1">
        <v>0.725</v>
      </c>
      <c r="F46" s="1">
        <v>0.779661016949152</v>
      </c>
      <c r="G46" s="1">
        <v>0.903225806451612</v>
      </c>
      <c r="H46" s="1">
        <v>0.545454545454545</v>
      </c>
      <c r="I46" s="1">
        <v>0.526315789473684</v>
      </c>
      <c r="J46" s="1">
        <v>0.805970149253731</v>
      </c>
      <c r="K46" s="1">
        <v>0.714285714285714</v>
      </c>
      <c r="L46" s="1">
        <v>0.649350649350649</v>
      </c>
      <c r="M46" s="1">
        <v>0.727272727272727</v>
      </c>
      <c r="N46">
        <v>0.666666666666666</v>
      </c>
      <c r="O46" s="1" t="s">
        <v>60</v>
      </c>
      <c r="P46" s="8">
        <v>0.869565217391304</v>
      </c>
      <c r="Q46" s="1">
        <v>0.538461538461538</v>
      </c>
      <c r="R46" s="1">
        <v>0.725</v>
      </c>
      <c r="S46" s="1">
        <v>0.779661016949152</v>
      </c>
      <c r="T46" s="1">
        <v>0.903225806451612</v>
      </c>
      <c r="U46" s="1">
        <v>0.545454545454545</v>
      </c>
      <c r="V46" s="1">
        <v>0.526315789473684</v>
      </c>
      <c r="W46" s="1">
        <v>0.805970149253731</v>
      </c>
      <c r="X46" s="1">
        <v>0.714285714285714</v>
      </c>
      <c r="Y46" s="1">
        <v>0.649350649350649</v>
      </c>
      <c r="Z46" s="1">
        <v>0.727272727272727</v>
      </c>
    </row>
    <row r="47" spans="2:26">
      <c r="B47" s="1" t="s">
        <v>61</v>
      </c>
      <c r="C47" s="8">
        <v>0.81081081081081</v>
      </c>
      <c r="D47" s="1">
        <v>0.583333333333333</v>
      </c>
      <c r="E47" s="1">
        <v>0.852941176470588</v>
      </c>
      <c r="F47" s="1">
        <v>0.793103448275862</v>
      </c>
      <c r="G47" s="1">
        <v>0.823529411764705</v>
      </c>
      <c r="H47" s="1">
        <v>0.75</v>
      </c>
      <c r="I47" s="1">
        <v>0.625</v>
      </c>
      <c r="J47" s="1">
        <v>0.771428571428571</v>
      </c>
      <c r="K47" s="1">
        <v>0.769230769230769</v>
      </c>
      <c r="L47" s="1">
        <v>0.595238095238095</v>
      </c>
      <c r="M47" s="1">
        <v>1</v>
      </c>
      <c r="N47">
        <v>0.608695652173913</v>
      </c>
      <c r="O47" s="1" t="s">
        <v>61</v>
      </c>
      <c r="P47" s="8">
        <v>0.81081081081081</v>
      </c>
      <c r="Q47" s="1">
        <v>0.583333333333333</v>
      </c>
      <c r="R47" s="1">
        <v>0.852941176470588</v>
      </c>
      <c r="S47" s="1">
        <v>0.793103448275862</v>
      </c>
      <c r="T47" s="1">
        <v>0.823529411764705</v>
      </c>
      <c r="U47" s="1">
        <v>0.75</v>
      </c>
      <c r="V47" s="1">
        <v>0.625</v>
      </c>
      <c r="W47" s="1">
        <v>0.771428571428571</v>
      </c>
      <c r="X47" s="1">
        <v>0.769230769230769</v>
      </c>
      <c r="Y47" s="1">
        <v>0.595238095238095</v>
      </c>
      <c r="Z47" s="1">
        <v>1</v>
      </c>
    </row>
    <row r="48" spans="2:26">
      <c r="B48" s="1" t="s">
        <v>62</v>
      </c>
      <c r="C48" s="8">
        <v>0.9375</v>
      </c>
      <c r="D48" s="1">
        <v>0.5</v>
      </c>
      <c r="E48" s="1">
        <v>0.630434782608695</v>
      </c>
      <c r="F48" s="1">
        <v>0.766666666666666</v>
      </c>
      <c r="G48" s="1">
        <v>1</v>
      </c>
      <c r="H48" s="1">
        <v>0.428571428571428</v>
      </c>
      <c r="I48" s="1">
        <v>0.454545454545454</v>
      </c>
      <c r="J48" s="1">
        <v>0.84375</v>
      </c>
      <c r="K48" s="1">
        <v>0.666666666666666</v>
      </c>
      <c r="L48" s="1">
        <v>0.714285714285714</v>
      </c>
      <c r="M48" s="1">
        <v>0.571428571428571</v>
      </c>
      <c r="N48">
        <v>0.736842105263157</v>
      </c>
      <c r="O48" s="1" t="s">
        <v>62</v>
      </c>
      <c r="P48" s="8">
        <v>0.9375</v>
      </c>
      <c r="Q48" s="1">
        <v>0.5</v>
      </c>
      <c r="R48" s="1">
        <v>0.630434782608695</v>
      </c>
      <c r="S48" s="1">
        <v>0.766666666666666</v>
      </c>
      <c r="T48" s="1">
        <v>1</v>
      </c>
      <c r="U48" s="1">
        <v>0.428571428571428</v>
      </c>
      <c r="V48" s="1">
        <v>0.454545454545454</v>
      </c>
      <c r="W48" s="1">
        <v>0.84375</v>
      </c>
      <c r="X48" s="1">
        <v>0.666666666666666</v>
      </c>
      <c r="Y48" s="1">
        <v>0.714285714285714</v>
      </c>
      <c r="Z48" s="1">
        <v>0.571428571428571</v>
      </c>
    </row>
    <row r="49" spans="3:16">
      <c r="C49" s="1" t="s">
        <v>63</v>
      </c>
      <c r="N49" s="1"/>
      <c r="O49" s="1"/>
      <c r="P49" s="1" t="s">
        <v>64</v>
      </c>
    </row>
    <row r="50" spans="2:26">
      <c r="B50" s="1" t="s">
        <v>59</v>
      </c>
      <c r="C50" s="1">
        <v>0.87</v>
      </c>
      <c r="D50" s="1">
        <v>0.95</v>
      </c>
      <c r="E50" s="1">
        <v>0.865</v>
      </c>
      <c r="F50" s="1">
        <v>0.685</v>
      </c>
      <c r="G50" s="1">
        <v>1</v>
      </c>
      <c r="H50" s="1">
        <v>0.94</v>
      </c>
      <c r="I50" s="1">
        <v>0.84</v>
      </c>
      <c r="J50" s="1">
        <v>0.9</v>
      </c>
      <c r="K50" s="1">
        <v>0.885</v>
      </c>
      <c r="L50" s="1">
        <v>0.725</v>
      </c>
      <c r="M50" s="1">
        <v>0.98</v>
      </c>
      <c r="N50">
        <v>0.89</v>
      </c>
      <c r="O50" s="1" t="s">
        <v>59</v>
      </c>
      <c r="P50" s="1">
        <v>0.87</v>
      </c>
      <c r="Q50" s="1">
        <v>0.95</v>
      </c>
      <c r="R50" s="1">
        <v>0.865</v>
      </c>
      <c r="S50" s="1">
        <v>0.685</v>
      </c>
      <c r="T50" s="1">
        <v>1</v>
      </c>
      <c r="U50" s="1">
        <v>0.94</v>
      </c>
      <c r="V50" s="1">
        <v>0.84</v>
      </c>
      <c r="W50" s="1">
        <v>0.9</v>
      </c>
      <c r="X50" s="1">
        <v>0.885</v>
      </c>
      <c r="Y50" s="1">
        <v>0.725</v>
      </c>
      <c r="Z50" s="1">
        <v>0.98</v>
      </c>
    </row>
    <row r="51" spans="2:26">
      <c r="B51" s="1" t="s">
        <v>60</v>
      </c>
      <c r="C51" s="1">
        <v>0.704545454545454</v>
      </c>
      <c r="D51" s="1">
        <v>0.583333333333333</v>
      </c>
      <c r="E51" s="1">
        <v>0.703296703296703</v>
      </c>
      <c r="F51" s="1">
        <v>0.644067796610169</v>
      </c>
      <c r="G51" s="1">
        <v>1</v>
      </c>
      <c r="H51" s="1">
        <v>0.6</v>
      </c>
      <c r="I51" s="1">
        <v>0.333333333333333</v>
      </c>
      <c r="J51" s="1">
        <v>0.743589743589743</v>
      </c>
      <c r="K51" s="1">
        <v>0.549019607843137</v>
      </c>
      <c r="L51" s="1">
        <v>0.545454545454545</v>
      </c>
      <c r="M51" s="1">
        <v>0.666666666666666</v>
      </c>
      <c r="N51">
        <v>0.5</v>
      </c>
      <c r="O51" s="1" t="s">
        <v>60</v>
      </c>
      <c r="P51" s="1">
        <v>0.704545454545454</v>
      </c>
      <c r="Q51" s="1">
        <v>0.583333333333333</v>
      </c>
      <c r="R51" s="1">
        <v>0.703296703296703</v>
      </c>
      <c r="S51" s="1">
        <v>0.644067796610169</v>
      </c>
      <c r="T51" s="1">
        <v>1</v>
      </c>
      <c r="U51" s="1">
        <v>0.6</v>
      </c>
      <c r="V51" s="1">
        <v>0.333333333333333</v>
      </c>
      <c r="W51" s="1">
        <v>0.743589743589743</v>
      </c>
      <c r="X51" s="1">
        <v>0.549019607843137</v>
      </c>
      <c r="Y51" s="1">
        <v>0.545454545454545</v>
      </c>
      <c r="Z51" s="1">
        <v>0.666666666666666</v>
      </c>
    </row>
    <row r="52" spans="2:26">
      <c r="B52" s="1" t="s">
        <v>61</v>
      </c>
      <c r="C52" s="1">
        <v>0.553571428571428</v>
      </c>
      <c r="D52" s="1">
        <v>0.7</v>
      </c>
      <c r="E52" s="1">
        <v>0.711111111111111</v>
      </c>
      <c r="F52" s="1">
        <v>0.487179487179487</v>
      </c>
      <c r="G52" s="1">
        <v>1</v>
      </c>
      <c r="H52" s="1">
        <v>0.5625</v>
      </c>
      <c r="I52" s="1">
        <v>0.216216216216216</v>
      </c>
      <c r="J52" s="1">
        <v>0.630434782608695</v>
      </c>
      <c r="K52" s="1">
        <v>0.388888888888888</v>
      </c>
      <c r="L52" s="1">
        <v>0.383720930232558</v>
      </c>
      <c r="M52" s="1">
        <v>0.8</v>
      </c>
      <c r="N52">
        <v>0.44</v>
      </c>
      <c r="O52" s="1" t="s">
        <v>61</v>
      </c>
      <c r="P52" s="1">
        <v>0.553571428571428</v>
      </c>
      <c r="Q52" s="1">
        <v>0.7</v>
      </c>
      <c r="R52" s="1">
        <v>0.711111111111111</v>
      </c>
      <c r="S52" s="1">
        <v>0.487179487179487</v>
      </c>
      <c r="T52" s="1">
        <v>1</v>
      </c>
      <c r="U52" s="1">
        <v>0.5625</v>
      </c>
      <c r="V52" s="1">
        <v>0.216216216216216</v>
      </c>
      <c r="W52" s="1">
        <v>0.630434782608695</v>
      </c>
      <c r="X52" s="1">
        <v>0.388888888888888</v>
      </c>
      <c r="Y52" s="1">
        <v>0.383720930232558</v>
      </c>
      <c r="Z52" s="1">
        <v>0.8</v>
      </c>
    </row>
    <row r="53" spans="2:28">
      <c r="B53" s="1" t="s">
        <v>62</v>
      </c>
      <c r="C53" s="1">
        <v>0.96875</v>
      </c>
      <c r="D53" s="1">
        <v>0.5</v>
      </c>
      <c r="E53" s="1">
        <v>0.695652173913043</v>
      </c>
      <c r="F53" s="1">
        <v>0.95</v>
      </c>
      <c r="G53" s="1">
        <v>1</v>
      </c>
      <c r="H53" s="1">
        <v>0.642857142857142</v>
      </c>
      <c r="I53" s="1">
        <v>0.727272727272727</v>
      </c>
      <c r="J53" s="1">
        <v>0.90625</v>
      </c>
      <c r="K53" s="1">
        <v>0.933333333333333</v>
      </c>
      <c r="L53" s="1">
        <v>0.942857142857142</v>
      </c>
      <c r="M53" s="1">
        <v>0.571428571428571</v>
      </c>
      <c r="N53">
        <v>0.578947368421052</v>
      </c>
      <c r="O53" s="1" t="s">
        <v>62</v>
      </c>
      <c r="P53" s="1">
        <v>0.96875</v>
      </c>
      <c r="Q53" s="1">
        <v>0.5</v>
      </c>
      <c r="R53" s="1">
        <v>0.695652173913043</v>
      </c>
      <c r="S53" s="1">
        <v>0.95</v>
      </c>
      <c r="T53" s="1">
        <v>1</v>
      </c>
      <c r="U53" s="1">
        <v>0.642857142857142</v>
      </c>
      <c r="V53" s="1">
        <v>0.727272727272727</v>
      </c>
      <c r="W53" s="1">
        <v>0.90625</v>
      </c>
      <c r="X53" s="1">
        <v>0.933333333333333</v>
      </c>
      <c r="Y53" s="1">
        <v>0.942857142857142</v>
      </c>
      <c r="Z53" s="1">
        <v>0.571428571428571</v>
      </c>
      <c r="AB53" s="51"/>
    </row>
    <row r="54" customFormat="1" spans="2:26">
      <c r="B54" s="1"/>
      <c r="C54" s="1" t="s">
        <v>65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 t="s">
        <v>66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1" spans="2:26">
      <c r="B55" s="1" t="s">
        <v>59</v>
      </c>
      <c r="C55" s="1">
        <v>0.86</v>
      </c>
      <c r="D55" s="1">
        <v>0.945</v>
      </c>
      <c r="E55" s="1">
        <v>0.885</v>
      </c>
      <c r="F55" s="1">
        <v>0.575</v>
      </c>
      <c r="G55" s="1">
        <v>0.98</v>
      </c>
      <c r="H55" s="1">
        <v>0.95</v>
      </c>
      <c r="I55" s="1">
        <v>0.845</v>
      </c>
      <c r="J55" s="1">
        <v>0.925</v>
      </c>
      <c r="K55" s="1">
        <v>0.925</v>
      </c>
      <c r="L55" s="1">
        <v>0.805</v>
      </c>
      <c r="M55" s="1">
        <v>0.985</v>
      </c>
      <c r="N55">
        <v>0.895</v>
      </c>
      <c r="O55" s="1" t="s">
        <v>59</v>
      </c>
      <c r="P55" s="1">
        <v>0.86</v>
      </c>
      <c r="Q55" s="1">
        <v>0.945</v>
      </c>
      <c r="R55" s="1">
        <v>0.885</v>
      </c>
      <c r="S55" s="1">
        <v>0.575</v>
      </c>
      <c r="T55" s="1">
        <v>0.98</v>
      </c>
      <c r="U55" s="1">
        <v>0.95</v>
      </c>
      <c r="V55" s="1">
        <v>0.845</v>
      </c>
      <c r="W55" s="1">
        <v>0.925</v>
      </c>
      <c r="X55" s="1">
        <v>0.925</v>
      </c>
      <c r="Y55" s="1">
        <v>0.805</v>
      </c>
      <c r="Z55" s="1">
        <v>0.985</v>
      </c>
    </row>
    <row r="56" customFormat="1" spans="2:26">
      <c r="B56" s="1" t="s">
        <v>60</v>
      </c>
      <c r="C56" s="1">
        <v>0.681818181818181</v>
      </c>
      <c r="D56" s="1">
        <v>0.521739130434782</v>
      </c>
      <c r="E56" s="1">
        <v>0.70886075949367</v>
      </c>
      <c r="F56" s="1">
        <v>0.585365853658536</v>
      </c>
      <c r="G56" s="1">
        <v>0.866666666666666</v>
      </c>
      <c r="H56" s="1">
        <v>0.666666666666666</v>
      </c>
      <c r="I56" s="1">
        <v>0.311111111111111</v>
      </c>
      <c r="J56" s="1">
        <v>0.788732394366197</v>
      </c>
      <c r="K56" s="1">
        <v>0.651162790697674</v>
      </c>
      <c r="L56" s="1">
        <v>0.589473684210526</v>
      </c>
      <c r="M56" s="1">
        <v>0.769230769230769</v>
      </c>
      <c r="N56">
        <v>0.275862068965517</v>
      </c>
      <c r="O56" s="1" t="s">
        <v>60</v>
      </c>
      <c r="P56" s="1">
        <v>0.681818181818181</v>
      </c>
      <c r="Q56" s="1">
        <v>0.521739130434782</v>
      </c>
      <c r="R56" s="1">
        <v>0.70886075949367</v>
      </c>
      <c r="S56" s="1">
        <v>0.585365853658536</v>
      </c>
      <c r="T56" s="1">
        <v>0.866666666666666</v>
      </c>
      <c r="U56" s="1">
        <v>0.666666666666666</v>
      </c>
      <c r="V56" s="1">
        <v>0.311111111111111</v>
      </c>
      <c r="W56" s="1">
        <v>0.788732394366197</v>
      </c>
      <c r="X56" s="1">
        <v>0.651162790697674</v>
      </c>
      <c r="Y56" s="1">
        <v>0.589473684210526</v>
      </c>
      <c r="Z56" s="1">
        <v>0.769230769230769</v>
      </c>
    </row>
    <row r="57" customFormat="1" spans="2:26">
      <c r="B57" s="1" t="s">
        <v>61</v>
      </c>
      <c r="C57" s="1">
        <v>0.535714285714285</v>
      </c>
      <c r="D57" s="1">
        <v>0.666666666666666</v>
      </c>
      <c r="E57" s="1">
        <v>0.848484848484848</v>
      </c>
      <c r="F57" s="1">
        <v>0.413793103448275</v>
      </c>
      <c r="G57" s="1">
        <v>0.8125</v>
      </c>
      <c r="H57" s="1">
        <v>0.625</v>
      </c>
      <c r="I57" s="1">
        <v>0.205882352941176</v>
      </c>
      <c r="J57" s="1">
        <v>0.717948717948718</v>
      </c>
      <c r="K57" s="1">
        <v>0.5</v>
      </c>
      <c r="L57" s="1">
        <v>0.466666666666666</v>
      </c>
      <c r="M57" s="1">
        <v>0.833333333333333</v>
      </c>
      <c r="N57">
        <v>0.4</v>
      </c>
      <c r="O57" s="1" t="s">
        <v>61</v>
      </c>
      <c r="P57" s="1">
        <v>0.535714285714285</v>
      </c>
      <c r="Q57" s="1">
        <v>0.666666666666666</v>
      </c>
      <c r="R57" s="1">
        <v>0.848484848484848</v>
      </c>
      <c r="S57" s="1">
        <v>0.413793103448275</v>
      </c>
      <c r="T57" s="1">
        <v>0.8125</v>
      </c>
      <c r="U57" s="1">
        <v>0.625</v>
      </c>
      <c r="V57" s="1">
        <v>0.205882352941176</v>
      </c>
      <c r="W57" s="1">
        <v>0.717948717948718</v>
      </c>
      <c r="X57" s="1">
        <v>0.5</v>
      </c>
      <c r="Y57" s="1">
        <v>0.466666666666666</v>
      </c>
      <c r="Z57" s="1">
        <v>0.833333333333333</v>
      </c>
    </row>
    <row r="58" customFormat="1" spans="2:28">
      <c r="B58" s="1" t="s">
        <v>62</v>
      </c>
      <c r="C58" s="1">
        <v>0.9375</v>
      </c>
      <c r="D58" s="1">
        <v>0.428571428571428</v>
      </c>
      <c r="E58" s="1">
        <v>0.608695652173913</v>
      </c>
      <c r="F58" s="1">
        <v>1</v>
      </c>
      <c r="G58" s="1">
        <v>0.928571428571428</v>
      </c>
      <c r="H58" s="1">
        <v>0.714285714285714</v>
      </c>
      <c r="I58" s="1">
        <v>0.636363636363636</v>
      </c>
      <c r="J58" s="1">
        <v>0.875</v>
      </c>
      <c r="K58" s="1">
        <v>0.933333333333333</v>
      </c>
      <c r="L58" s="1">
        <v>0.8</v>
      </c>
      <c r="M58" s="1">
        <v>0.714285714285714</v>
      </c>
      <c r="N58">
        <v>0.210526315789473</v>
      </c>
      <c r="O58" s="1" t="s">
        <v>62</v>
      </c>
      <c r="P58" s="1">
        <v>0.9375</v>
      </c>
      <c r="Q58" s="1">
        <v>0.428571428571428</v>
      </c>
      <c r="R58" s="1">
        <v>0.608695652173913</v>
      </c>
      <c r="S58" s="1">
        <v>1</v>
      </c>
      <c r="T58" s="1">
        <v>0.928571428571428</v>
      </c>
      <c r="U58" s="1">
        <v>0.714285714285714</v>
      </c>
      <c r="V58" s="1">
        <v>0.636363636363636</v>
      </c>
      <c r="W58" s="1">
        <v>0.875</v>
      </c>
      <c r="X58" s="1">
        <v>0.933333333333333</v>
      </c>
      <c r="Y58" s="1">
        <v>0.8</v>
      </c>
      <c r="Z58" s="1">
        <v>0.714285714285714</v>
      </c>
      <c r="AB58" s="51"/>
    </row>
    <row r="59" customFormat="1" spans="2:26">
      <c r="B59" s="1"/>
      <c r="C59" s="1" t="s">
        <v>67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 t="s">
        <v>68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1" spans="2:26">
      <c r="B60" s="1" t="s">
        <v>59</v>
      </c>
      <c r="C60" s="1">
        <v>0.785</v>
      </c>
      <c r="D60" s="1">
        <v>0.945</v>
      </c>
      <c r="E60" s="1">
        <v>0.87</v>
      </c>
      <c r="F60" s="1">
        <v>0.69</v>
      </c>
      <c r="G60" s="1">
        <v>0.975</v>
      </c>
      <c r="H60" s="1">
        <v>0.86</v>
      </c>
      <c r="I60" s="1">
        <v>0.865</v>
      </c>
      <c r="J60" s="1">
        <v>0.865</v>
      </c>
      <c r="K60" s="1">
        <v>0.695</v>
      </c>
      <c r="L60" s="1">
        <v>0.67</v>
      </c>
      <c r="M60" s="1">
        <v>0.94</v>
      </c>
      <c r="N60">
        <v>0.81</v>
      </c>
      <c r="O60" s="1" t="s">
        <v>59</v>
      </c>
      <c r="P60" s="1">
        <v>0.785</v>
      </c>
      <c r="Q60" s="1">
        <v>0.945</v>
      </c>
      <c r="R60" s="1">
        <v>0.87</v>
      </c>
      <c r="S60" s="1">
        <v>0.69</v>
      </c>
      <c r="T60" s="1">
        <v>0.975</v>
      </c>
      <c r="U60" s="1">
        <v>0.86</v>
      </c>
      <c r="V60" s="1">
        <v>0.865</v>
      </c>
      <c r="W60" s="1">
        <v>0.865</v>
      </c>
      <c r="X60" s="1">
        <v>0.695</v>
      </c>
      <c r="Y60" s="1">
        <v>0.67</v>
      </c>
      <c r="Z60" s="1">
        <v>0.94</v>
      </c>
    </row>
    <row r="61" customFormat="1" spans="2:26">
      <c r="B61" s="1" t="s">
        <v>60</v>
      </c>
      <c r="C61" s="1">
        <v>0.58252427184466</v>
      </c>
      <c r="D61" s="1">
        <v>0.620689655172413</v>
      </c>
      <c r="E61" s="1">
        <v>0.666666666666666</v>
      </c>
      <c r="F61" s="1">
        <v>0.63953488372093</v>
      </c>
      <c r="G61" s="1">
        <v>0.848484848484848</v>
      </c>
      <c r="H61" s="1">
        <v>0.416666666666666</v>
      </c>
      <c r="I61" s="1">
        <v>0.399999999999999</v>
      </c>
      <c r="J61" s="1">
        <v>0.68235294117647</v>
      </c>
      <c r="K61" s="1">
        <v>0.329670329670329</v>
      </c>
      <c r="L61" s="1">
        <v>0.5</v>
      </c>
      <c r="M61" s="1">
        <v>0.454545454545454</v>
      </c>
      <c r="N61">
        <v>0.441176470588235</v>
      </c>
      <c r="O61" s="1" t="s">
        <v>60</v>
      </c>
      <c r="P61" s="1">
        <v>0.58252427184466</v>
      </c>
      <c r="Q61" s="1">
        <v>0.620689655172413</v>
      </c>
      <c r="R61" s="1">
        <v>0.666666666666666</v>
      </c>
      <c r="S61" s="1">
        <v>0.63953488372093</v>
      </c>
      <c r="T61" s="1">
        <v>0.848484848484848</v>
      </c>
      <c r="U61" s="1">
        <v>0.416666666666666</v>
      </c>
      <c r="V61" s="1">
        <v>0.399999999999999</v>
      </c>
      <c r="W61" s="1">
        <v>0.68235294117647</v>
      </c>
      <c r="X61" s="1">
        <v>0.329670329670329</v>
      </c>
      <c r="Y61" s="1">
        <v>0.5</v>
      </c>
      <c r="Z61" s="1">
        <v>0.454545454545454</v>
      </c>
    </row>
    <row r="62" customFormat="1" spans="2:26">
      <c r="B62" s="1" t="s">
        <v>61</v>
      </c>
      <c r="C62" s="1">
        <v>0.422535211267605</v>
      </c>
      <c r="D62" s="1">
        <v>0.6</v>
      </c>
      <c r="E62" s="1">
        <v>0.8125</v>
      </c>
      <c r="F62" s="1">
        <v>0.491071428571428</v>
      </c>
      <c r="G62" s="1">
        <v>0.736842105263157</v>
      </c>
      <c r="H62" s="1">
        <v>0.294117647058823</v>
      </c>
      <c r="I62" s="1">
        <v>0.264705882352941</v>
      </c>
      <c r="J62" s="1">
        <v>0.547169811320754</v>
      </c>
      <c r="K62" s="1">
        <v>0.197368421052631</v>
      </c>
      <c r="L62" s="1">
        <v>0.34020618556701</v>
      </c>
      <c r="M62" s="1">
        <v>0.333333333333333</v>
      </c>
      <c r="N62">
        <v>0.306122448979591</v>
      </c>
      <c r="O62" s="1" t="s">
        <v>61</v>
      </c>
      <c r="P62" s="1">
        <v>0.422535211267605</v>
      </c>
      <c r="Q62" s="1">
        <v>0.6</v>
      </c>
      <c r="R62" s="1">
        <v>0.8125</v>
      </c>
      <c r="S62" s="1">
        <v>0.491071428571428</v>
      </c>
      <c r="T62" s="1">
        <v>0.736842105263157</v>
      </c>
      <c r="U62" s="1">
        <v>0.294117647058823</v>
      </c>
      <c r="V62" s="1">
        <v>0.264705882352941</v>
      </c>
      <c r="W62" s="1">
        <v>0.547169811320754</v>
      </c>
      <c r="X62" s="1">
        <v>0.197368421052631</v>
      </c>
      <c r="Y62" s="1">
        <v>0.34020618556701</v>
      </c>
      <c r="Z62" s="1">
        <v>0.333333333333333</v>
      </c>
    </row>
    <row r="63" customFormat="1" spans="2:28">
      <c r="B63" s="1" t="s">
        <v>62</v>
      </c>
      <c r="C63" s="1">
        <v>0.9375</v>
      </c>
      <c r="D63" s="1">
        <v>0.642857142857142</v>
      </c>
      <c r="E63" s="1">
        <v>0.565217391304347</v>
      </c>
      <c r="F63" s="1">
        <v>0.916666666666666</v>
      </c>
      <c r="G63" s="1">
        <v>1</v>
      </c>
      <c r="H63" s="1">
        <v>0.714285714285714</v>
      </c>
      <c r="I63" s="1">
        <v>0.818181818181818</v>
      </c>
      <c r="J63" s="1">
        <v>0.90625</v>
      </c>
      <c r="K63" s="1">
        <v>1</v>
      </c>
      <c r="L63" s="1">
        <v>0.942857142857142</v>
      </c>
      <c r="M63" s="1">
        <v>0.714285714285714</v>
      </c>
      <c r="N63">
        <v>0.789473684210526</v>
      </c>
      <c r="O63" s="1" t="s">
        <v>62</v>
      </c>
      <c r="P63" s="1">
        <v>0.9375</v>
      </c>
      <c r="Q63" s="1">
        <v>0.642857142857142</v>
      </c>
      <c r="R63" s="1">
        <v>0.565217391304347</v>
      </c>
      <c r="S63" s="1">
        <v>0.916666666666666</v>
      </c>
      <c r="T63" s="1">
        <v>1</v>
      </c>
      <c r="U63" s="1">
        <v>0.714285714285714</v>
      </c>
      <c r="V63" s="1">
        <v>0.818181818181818</v>
      </c>
      <c r="W63" s="1">
        <v>0.90625</v>
      </c>
      <c r="X63" s="1">
        <v>1</v>
      </c>
      <c r="Y63" s="1">
        <v>0.942857142857142</v>
      </c>
      <c r="Z63" s="1">
        <v>0.714285714285714</v>
      </c>
      <c r="AB63" s="51"/>
    </row>
    <row r="64" spans="28:28">
      <c r="AB64" s="47"/>
    </row>
    <row r="65" spans="3:28">
      <c r="C65" s="1" t="s">
        <v>69</v>
      </c>
      <c r="AB65" s="1"/>
    </row>
    <row r="66" spans="2:28">
      <c r="B66" s="1" t="s">
        <v>59</v>
      </c>
      <c r="C66" s="47">
        <v>0.915</v>
      </c>
      <c r="D66" s="1">
        <v>0.955</v>
      </c>
      <c r="E66" s="1">
        <v>0.89</v>
      </c>
      <c r="F66" s="1">
        <v>0.86</v>
      </c>
      <c r="G66" s="1">
        <v>0.99</v>
      </c>
      <c r="H66" s="1">
        <v>0.95</v>
      </c>
      <c r="I66" s="1">
        <v>0.945</v>
      </c>
      <c r="J66" s="1">
        <v>0.91</v>
      </c>
      <c r="K66" s="1">
        <v>0.96</v>
      </c>
      <c r="L66" s="1">
        <v>0.89</v>
      </c>
      <c r="M66" s="1">
        <v>0.99</v>
      </c>
      <c r="N66">
        <v>0.925</v>
      </c>
      <c r="O66" s="1" t="s">
        <v>59</v>
      </c>
      <c r="P66" s="47"/>
      <c r="Q66" s="1"/>
      <c r="R66" s="1"/>
      <c r="S66" s="1"/>
      <c r="T66" s="1"/>
      <c r="U66" s="1"/>
      <c r="V66" s="1"/>
      <c r="W66" s="1"/>
      <c r="X66" s="1"/>
      <c r="Y66" s="1"/>
      <c r="Z66" s="1"/>
      <c r="AB66" s="1"/>
    </row>
    <row r="67" spans="2:28">
      <c r="B67" s="1" t="s">
        <v>60</v>
      </c>
      <c r="C67" s="47">
        <v>0.790123456790123</v>
      </c>
      <c r="D67" s="1">
        <v>0.64</v>
      </c>
      <c r="E67" s="1">
        <v>0.755555555555555</v>
      </c>
      <c r="F67" s="1">
        <v>0.777777777777777</v>
      </c>
      <c r="G67" s="1">
        <v>0.933333333333333</v>
      </c>
      <c r="H67" s="1">
        <v>0.5</v>
      </c>
      <c r="I67" s="1">
        <v>0.476190476190476</v>
      </c>
      <c r="J67" s="1">
        <v>0.742857142857142</v>
      </c>
      <c r="K67" s="1">
        <v>0.692307692307692</v>
      </c>
      <c r="L67" s="1">
        <v>0.717948717948718</v>
      </c>
      <c r="M67" s="1">
        <v>0.833333333333333</v>
      </c>
      <c r="N67">
        <v>0.615384615384615</v>
      </c>
      <c r="O67" s="1" t="s">
        <v>60</v>
      </c>
      <c r="P67" s="47"/>
      <c r="Q67" s="1"/>
      <c r="R67" s="1"/>
      <c r="S67" s="1"/>
      <c r="T67" s="1"/>
      <c r="U67" s="1"/>
      <c r="V67" s="1"/>
      <c r="W67" s="1"/>
      <c r="X67" s="1"/>
      <c r="Y67" s="1"/>
      <c r="Z67" s="1"/>
      <c r="AB67" s="1"/>
    </row>
    <row r="68" spans="2:16">
      <c r="B68" s="1" t="s">
        <v>61</v>
      </c>
      <c r="C68" s="47">
        <v>0.653061224489795</v>
      </c>
      <c r="D68" s="1">
        <v>0.727272727272727</v>
      </c>
      <c r="E68" s="1">
        <v>0.772727272727272</v>
      </c>
      <c r="F68" s="1">
        <v>0.742424242424242</v>
      </c>
      <c r="G68" s="1">
        <v>0.875</v>
      </c>
      <c r="H68" s="1">
        <v>0.833333333333333</v>
      </c>
      <c r="I68" s="1">
        <v>0.5</v>
      </c>
      <c r="J68" s="1">
        <v>0.684210526315789</v>
      </c>
      <c r="K68" s="1">
        <v>0.818181818181818</v>
      </c>
      <c r="L68" s="1">
        <v>0.651162790697674</v>
      </c>
      <c r="M68" s="1">
        <v>1</v>
      </c>
      <c r="N68">
        <v>0.6</v>
      </c>
      <c r="O68" s="1" t="s">
        <v>61</v>
      </c>
      <c r="P68" s="47"/>
    </row>
    <row r="69" spans="2:28">
      <c r="B69" s="1" t="s">
        <v>62</v>
      </c>
      <c r="C69" s="47">
        <v>1</v>
      </c>
      <c r="D69" s="1">
        <v>0.571428571428571</v>
      </c>
      <c r="E69" s="1">
        <v>0.739130434782608</v>
      </c>
      <c r="F69" s="1">
        <v>0.816666666666666</v>
      </c>
      <c r="G69" s="1">
        <v>1</v>
      </c>
      <c r="H69" s="1">
        <v>0.357142857142857</v>
      </c>
      <c r="I69" s="1">
        <v>0.454545454545454</v>
      </c>
      <c r="J69" s="1">
        <v>0.8125</v>
      </c>
      <c r="K69" s="1">
        <v>0.6</v>
      </c>
      <c r="L69" s="1">
        <v>0.8</v>
      </c>
      <c r="M69" s="1">
        <v>0.714285714285714</v>
      </c>
      <c r="N69">
        <v>0.631578947368421</v>
      </c>
      <c r="O69" s="1" t="s">
        <v>62</v>
      </c>
      <c r="P69" s="47"/>
      <c r="AB69" s="1"/>
    </row>
    <row r="70" customFormat="1" spans="2:28">
      <c r="B70" s="1"/>
      <c r="C70" s="1" t="s">
        <v>70</v>
      </c>
      <c r="D70" s="1"/>
      <c r="E70" s="1"/>
      <c r="F70" s="1"/>
      <c r="G70" s="1"/>
      <c r="H70" s="1"/>
      <c r="I70" s="1"/>
      <c r="J70" s="1"/>
      <c r="K70" s="1"/>
      <c r="L70" s="1"/>
      <c r="M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B70" s="1"/>
    </row>
    <row r="71" customFormat="1" spans="2:28">
      <c r="B71" s="1" t="s">
        <v>59</v>
      </c>
      <c r="C71" s="47">
        <v>0.885</v>
      </c>
      <c r="D71" s="1">
        <v>0.94</v>
      </c>
      <c r="E71" s="1">
        <v>0.86</v>
      </c>
      <c r="F71" s="1">
        <v>0.6</v>
      </c>
      <c r="G71" s="1">
        <v>0.985</v>
      </c>
      <c r="H71" s="1">
        <v>0.93</v>
      </c>
      <c r="I71" s="1">
        <v>0.795</v>
      </c>
      <c r="J71" s="1">
        <v>0.925</v>
      </c>
      <c r="K71" s="1">
        <v>0.92</v>
      </c>
      <c r="L71" s="1">
        <v>0.825</v>
      </c>
      <c r="M71" s="1">
        <v>0.985</v>
      </c>
      <c r="N71">
        <v>0.89</v>
      </c>
      <c r="O71" s="1"/>
      <c r="P71" s="47"/>
      <c r="Q71" s="1"/>
      <c r="R71" s="1"/>
      <c r="S71" s="1"/>
      <c r="T71" s="1"/>
      <c r="U71" s="1"/>
      <c r="V71" s="1"/>
      <c r="W71" s="1"/>
      <c r="X71" s="1"/>
      <c r="Y71" s="1"/>
      <c r="Z71" s="1"/>
      <c r="AA71"/>
      <c r="AB71" s="1"/>
    </row>
    <row r="72" customFormat="1" spans="2:28">
      <c r="B72" s="1" t="s">
        <v>60</v>
      </c>
      <c r="C72" s="47">
        <v>0.716049382716049</v>
      </c>
      <c r="D72" s="1">
        <v>0.454545454545454</v>
      </c>
      <c r="E72" s="1">
        <v>0.641025641025641</v>
      </c>
      <c r="F72" s="1">
        <v>0.6</v>
      </c>
      <c r="G72" s="1">
        <v>0.903225806451612</v>
      </c>
      <c r="H72" s="1">
        <v>0.588235294117647</v>
      </c>
      <c r="I72" s="1">
        <v>0.327868852459016</v>
      </c>
      <c r="J72" s="1">
        <v>0.782608695652174</v>
      </c>
      <c r="K72" s="1">
        <v>0.652173913043478</v>
      </c>
      <c r="L72" s="1">
        <v>0.623655913978494</v>
      </c>
      <c r="M72" s="1">
        <v>0.769230769230769</v>
      </c>
      <c r="N72">
        <v>0.214285714285714</v>
      </c>
      <c r="O72" s="1"/>
      <c r="P72" s="47"/>
      <c r="Q72" s="1"/>
      <c r="R72" s="1"/>
      <c r="S72" s="1"/>
      <c r="T72" s="1"/>
      <c r="U72" s="1"/>
      <c r="V72" s="1"/>
      <c r="W72" s="1"/>
      <c r="X72" s="1"/>
      <c r="Y72" s="1"/>
      <c r="Z72" s="1"/>
      <c r="AA72"/>
      <c r="AB72" s="1"/>
    </row>
    <row r="73" customFormat="1" spans="2:26">
      <c r="B73" s="1" t="s">
        <v>61</v>
      </c>
      <c r="C73" s="47">
        <v>0.591836734693877</v>
      </c>
      <c r="D73" s="1">
        <v>0.625</v>
      </c>
      <c r="E73" s="1">
        <v>0.78125</v>
      </c>
      <c r="F73" s="1">
        <v>0.428571428571428</v>
      </c>
      <c r="G73" s="1">
        <v>0.823529411764705</v>
      </c>
      <c r="H73" s="1">
        <v>0.5</v>
      </c>
      <c r="I73" s="1">
        <v>0.2</v>
      </c>
      <c r="J73" s="1">
        <v>0.729729729729729</v>
      </c>
      <c r="K73" s="1">
        <v>0.483870967741935</v>
      </c>
      <c r="L73" s="1">
        <v>0.5</v>
      </c>
      <c r="M73" s="1">
        <v>0.833333333333333</v>
      </c>
      <c r="N73">
        <v>0.333333333333333</v>
      </c>
      <c r="O73" s="1"/>
      <c r="P73" s="47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1" spans="2:28">
      <c r="B74" s="1" t="s">
        <v>62</v>
      </c>
      <c r="C74" s="47">
        <v>0.90625</v>
      </c>
      <c r="D74" s="1">
        <v>0.357142857142857</v>
      </c>
      <c r="E74" s="1">
        <v>0.543478260869565</v>
      </c>
      <c r="F74" s="1">
        <v>1</v>
      </c>
      <c r="G74" s="1">
        <v>1</v>
      </c>
      <c r="H74" s="1">
        <v>0.714285714285714</v>
      </c>
      <c r="I74" s="1">
        <v>0.909090909090909</v>
      </c>
      <c r="J74" s="1">
        <v>0.84375</v>
      </c>
      <c r="K74" s="1">
        <v>1</v>
      </c>
      <c r="L74" s="1">
        <v>0.828571428571428</v>
      </c>
      <c r="M74" s="1">
        <v>0.714285714285714</v>
      </c>
      <c r="N74">
        <v>0.157894736842105</v>
      </c>
      <c r="O74" s="1"/>
      <c r="P74" s="47"/>
      <c r="Q74" s="1"/>
      <c r="R74" s="1"/>
      <c r="S74" s="1"/>
      <c r="T74" s="1"/>
      <c r="U74" s="1"/>
      <c r="V74" s="1"/>
      <c r="W74" s="1"/>
      <c r="X74" s="1"/>
      <c r="Y74" s="1"/>
      <c r="Z74" s="1"/>
      <c r="AA74"/>
      <c r="AB74" s="1"/>
    </row>
    <row r="75" customFormat="1" spans="2:28">
      <c r="B75" s="1"/>
      <c r="C75" s="1" t="s">
        <v>71</v>
      </c>
      <c r="D75" s="1"/>
      <c r="E75" s="1"/>
      <c r="F75" s="1"/>
      <c r="G75" s="1"/>
      <c r="H75" s="1"/>
      <c r="I75" s="1"/>
      <c r="J75" s="1"/>
      <c r="K75" s="1"/>
      <c r="L75" s="1"/>
      <c r="M75" s="1"/>
      <c r="O75" s="1"/>
      <c r="P75" s="1" t="s">
        <v>72</v>
      </c>
      <c r="Q75" s="1"/>
      <c r="R75" s="1"/>
      <c r="S75" s="1"/>
      <c r="T75" s="1"/>
      <c r="U75" s="1"/>
      <c r="V75" s="1"/>
      <c r="W75" s="1"/>
      <c r="X75" s="1"/>
      <c r="Y75" s="1"/>
      <c r="Z75" s="1"/>
      <c r="AB75" s="1"/>
    </row>
    <row r="76" customFormat="1" spans="2:28">
      <c r="B76" s="1" t="s">
        <v>59</v>
      </c>
      <c r="C76">
        <v>0.805</v>
      </c>
      <c r="D76">
        <v>0.92</v>
      </c>
      <c r="E76">
        <v>0.85</v>
      </c>
      <c r="F76">
        <v>0.71</v>
      </c>
      <c r="G76">
        <v>0.975</v>
      </c>
      <c r="H76">
        <v>0.91</v>
      </c>
      <c r="I76">
        <v>0.885</v>
      </c>
      <c r="J76">
        <v>0.865</v>
      </c>
      <c r="K76">
        <v>0.755</v>
      </c>
      <c r="L76">
        <v>0.66</v>
      </c>
      <c r="M76">
        <v>0.92</v>
      </c>
      <c r="N76">
        <v>0.8</v>
      </c>
      <c r="O76" s="1" t="s">
        <v>59</v>
      </c>
      <c r="P76" s="47">
        <v>0.785</v>
      </c>
      <c r="Q76" s="1">
        <v>0.93</v>
      </c>
      <c r="R76" s="1">
        <v>0.925</v>
      </c>
      <c r="S76" s="1">
        <v>0.775</v>
      </c>
      <c r="T76" s="1">
        <v>0.955</v>
      </c>
      <c r="U76" s="1">
        <v>0.93</v>
      </c>
      <c r="V76" s="1">
        <v>0.93</v>
      </c>
      <c r="W76" s="1">
        <v>0.91</v>
      </c>
      <c r="X76" s="1">
        <v>0.8</v>
      </c>
      <c r="Y76" s="1">
        <v>0.79</v>
      </c>
      <c r="Z76" s="1">
        <v>0.915</v>
      </c>
      <c r="AA76">
        <v>0.85</v>
      </c>
      <c r="AB76" s="1"/>
    </row>
    <row r="77" customFormat="1" spans="2:27">
      <c r="B77" s="1" t="s">
        <v>60</v>
      </c>
      <c r="C77">
        <v>0.613861386138613</v>
      </c>
      <c r="D77">
        <v>0.529411764705882</v>
      </c>
      <c r="E77">
        <v>0.571428571428571</v>
      </c>
      <c r="F77">
        <v>0.658823529411764</v>
      </c>
      <c r="G77">
        <v>0.848484848484848</v>
      </c>
      <c r="H77">
        <v>0.5</v>
      </c>
      <c r="I77">
        <v>0.465116279069767</v>
      </c>
      <c r="J77">
        <v>0.68235294117647</v>
      </c>
      <c r="K77">
        <v>0.363636363636363</v>
      </c>
      <c r="L77">
        <v>0.46875</v>
      </c>
      <c r="M77">
        <v>0.384615384615384</v>
      </c>
      <c r="N77">
        <v>0.428571428571428</v>
      </c>
      <c r="O77" s="1" t="s">
        <v>60</v>
      </c>
      <c r="P77" s="47">
        <v>0.65040650406504</v>
      </c>
      <c r="Q77" s="1">
        <v>0.695652173913043</v>
      </c>
      <c r="R77" s="1">
        <v>0.651162790697674</v>
      </c>
      <c r="S77" s="1">
        <v>0.790697674418604</v>
      </c>
      <c r="T77" s="1">
        <v>0.780487804878048</v>
      </c>
      <c r="U77" s="1">
        <v>0.708333333333333</v>
      </c>
      <c r="V77" s="1">
        <v>0.758620689655172</v>
      </c>
      <c r="W77" s="1">
        <v>0.816326530612244</v>
      </c>
      <c r="X77" s="1">
        <v>0.692307692307692</v>
      </c>
      <c r="Y77" s="1">
        <v>0.758620689655172</v>
      </c>
      <c r="Z77" s="1">
        <v>0.484848484848484</v>
      </c>
      <c r="AA77">
        <v>0.705882352941176</v>
      </c>
    </row>
    <row r="78" customFormat="1" spans="2:27">
      <c r="B78" s="1" t="s">
        <v>61</v>
      </c>
      <c r="C78">
        <v>0.44927536231884</v>
      </c>
      <c r="D78">
        <v>0.45</v>
      </c>
      <c r="E78">
        <v>0.833333333333333</v>
      </c>
      <c r="F78">
        <v>0.509090909090909</v>
      </c>
      <c r="G78">
        <v>0.736842105263157</v>
      </c>
      <c r="H78">
        <v>0.409090909090909</v>
      </c>
      <c r="I78">
        <v>0.3125</v>
      </c>
      <c r="J78">
        <v>0.547169811320754</v>
      </c>
      <c r="K78">
        <v>0.225806451612903</v>
      </c>
      <c r="L78">
        <v>0.32258064516129</v>
      </c>
      <c r="M78">
        <v>0.263157894736842</v>
      </c>
      <c r="N78">
        <v>0.294117647058823</v>
      </c>
      <c r="O78" s="1" t="s">
        <v>61</v>
      </c>
      <c r="P78" s="47">
        <v>0.579710144927536</v>
      </c>
      <c r="Q78" s="1">
        <v>0.8</v>
      </c>
      <c r="R78" s="1">
        <v>0.583333333333333</v>
      </c>
      <c r="S78" s="1">
        <v>0.772727272727272</v>
      </c>
      <c r="T78" s="1">
        <v>0.842105263157894</v>
      </c>
      <c r="U78" s="1">
        <v>0.772727272727272</v>
      </c>
      <c r="V78" s="1">
        <v>0.6875</v>
      </c>
      <c r="W78" s="1">
        <v>0.754716981132075</v>
      </c>
      <c r="X78" s="1">
        <v>0.725806451612903</v>
      </c>
      <c r="Y78" s="1">
        <v>0.709677419354838</v>
      </c>
      <c r="Z78" s="1">
        <v>0.421052631578947</v>
      </c>
      <c r="AA78">
        <v>0.705882352941176</v>
      </c>
    </row>
    <row r="79" customFormat="1" spans="2:28">
      <c r="B79" s="1" t="s">
        <v>62</v>
      </c>
      <c r="C79">
        <v>0.96875</v>
      </c>
      <c r="D79">
        <v>0.642857142857142</v>
      </c>
      <c r="E79">
        <v>0.434782608695652</v>
      </c>
      <c r="F79">
        <v>0.933333333333333</v>
      </c>
      <c r="G79">
        <v>1</v>
      </c>
      <c r="H79">
        <v>0.642857142857142</v>
      </c>
      <c r="I79">
        <v>0.909090909090909</v>
      </c>
      <c r="J79">
        <v>0.90625</v>
      </c>
      <c r="K79">
        <v>0.933333333333333</v>
      </c>
      <c r="L79">
        <v>0.857142857142857</v>
      </c>
      <c r="M79">
        <v>0.714285714285714</v>
      </c>
      <c r="N79">
        <v>0.789473684210526</v>
      </c>
      <c r="O79" s="1" t="s">
        <v>62</v>
      </c>
      <c r="P79" s="47">
        <v>0.74074074074074</v>
      </c>
      <c r="Q79" s="1">
        <v>0.615384615384615</v>
      </c>
      <c r="R79" s="1">
        <v>0.736842105263157</v>
      </c>
      <c r="S79" s="1">
        <v>0.809523809523809</v>
      </c>
      <c r="T79" s="1">
        <v>0.727272727272727</v>
      </c>
      <c r="U79" s="1">
        <v>0.653846153846153</v>
      </c>
      <c r="V79" s="1">
        <v>0.846153846153846</v>
      </c>
      <c r="W79" s="1">
        <v>0.888888888888888</v>
      </c>
      <c r="X79" s="1">
        <v>0.661764705882352</v>
      </c>
      <c r="Y79" s="1">
        <v>0.814814814814814</v>
      </c>
      <c r="Z79" s="1">
        <v>0.571428571428571</v>
      </c>
      <c r="AA79">
        <v>0.705882352941176</v>
      </c>
      <c r="AB79" s="51"/>
    </row>
    <row r="80" customFormat="1" spans="2:26">
      <c r="B80" s="1"/>
      <c r="C80" s="1" t="s">
        <v>73</v>
      </c>
      <c r="D80" s="1"/>
      <c r="E80" s="1"/>
      <c r="F80" s="1"/>
      <c r="G80" s="1"/>
      <c r="H80" s="1"/>
      <c r="I80" s="1"/>
      <c r="J80" s="1"/>
      <c r="K80" s="1"/>
      <c r="L80" s="1"/>
      <c r="M80" s="1"/>
      <c r="O80" s="1"/>
      <c r="P80" s="1" t="s">
        <v>74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1" spans="2:27">
      <c r="B81" s="1" t="s">
        <v>59</v>
      </c>
      <c r="C81" s="47">
        <v>0.865</v>
      </c>
      <c r="D81" s="1">
        <v>0.94</v>
      </c>
      <c r="E81" s="1">
        <v>0.88</v>
      </c>
      <c r="F81" s="1">
        <v>0.675</v>
      </c>
      <c r="G81" s="1">
        <v>0.98</v>
      </c>
      <c r="H81" s="1">
        <v>0.93</v>
      </c>
      <c r="I81" s="1">
        <v>0.86</v>
      </c>
      <c r="J81" s="1">
        <v>0.895</v>
      </c>
      <c r="K81" s="1">
        <v>0.91</v>
      </c>
      <c r="L81" s="1">
        <v>0.72</v>
      </c>
      <c r="M81" s="1">
        <v>0.97</v>
      </c>
      <c r="N81">
        <v>0.91</v>
      </c>
      <c r="O81" s="1" t="s">
        <v>59</v>
      </c>
      <c r="P81" s="47">
        <v>0.865</v>
      </c>
      <c r="Q81" s="1">
        <v>0.955</v>
      </c>
      <c r="R81" s="1">
        <v>0.91</v>
      </c>
      <c r="S81" s="1">
        <v>0.815</v>
      </c>
      <c r="T81" s="1">
        <v>0.97</v>
      </c>
      <c r="U81" s="1">
        <v>0.96</v>
      </c>
      <c r="V81" s="1">
        <v>0.91</v>
      </c>
      <c r="W81" s="1">
        <v>0.945</v>
      </c>
      <c r="X81" s="1">
        <v>0.875</v>
      </c>
      <c r="Y81" s="1">
        <v>0.805</v>
      </c>
      <c r="Z81" s="1">
        <v>0.975</v>
      </c>
      <c r="AA81">
        <v>0.875</v>
      </c>
    </row>
    <row r="82" customFormat="1" spans="2:27">
      <c r="B82" s="1" t="s">
        <v>60</v>
      </c>
      <c r="C82" s="47">
        <v>0.689655172413793</v>
      </c>
      <c r="D82" s="1">
        <v>0.5</v>
      </c>
      <c r="E82" s="1">
        <v>0.720930232558139</v>
      </c>
      <c r="F82" s="1">
        <v>0.644808743169399</v>
      </c>
      <c r="G82" s="1">
        <v>0.875</v>
      </c>
      <c r="H82" s="1">
        <v>0.5625</v>
      </c>
      <c r="I82" s="1">
        <v>0.391304347826087</v>
      </c>
      <c r="J82" s="1">
        <v>0.74074074074074</v>
      </c>
      <c r="K82" s="1">
        <v>0.608695652173913</v>
      </c>
      <c r="L82" s="1">
        <v>0.525423728813559</v>
      </c>
      <c r="M82" s="1">
        <v>0.625</v>
      </c>
      <c r="N82">
        <v>0.571428571428571</v>
      </c>
      <c r="O82" s="1" t="s">
        <v>60</v>
      </c>
      <c r="P82" s="47">
        <v>0.742857142857142</v>
      </c>
      <c r="Q82" s="1">
        <v>0.666666666666666</v>
      </c>
      <c r="R82" s="1">
        <v>0.756756756756756</v>
      </c>
      <c r="S82" s="1">
        <v>0.841201716738197</v>
      </c>
      <c r="T82" s="1">
        <v>0.833333333333333</v>
      </c>
      <c r="U82" s="1">
        <v>0.733333333333333</v>
      </c>
      <c r="V82" s="1">
        <v>0.742857142857142</v>
      </c>
      <c r="W82" s="1">
        <v>0.873563218390804</v>
      </c>
      <c r="X82" s="1">
        <v>0.603174603174603</v>
      </c>
      <c r="Y82" s="1">
        <v>0.741721854304635</v>
      </c>
      <c r="Z82" s="1">
        <v>0.705882352941176</v>
      </c>
      <c r="AA82">
        <v>0.358974358974359</v>
      </c>
    </row>
    <row r="83" customFormat="1" spans="2:27">
      <c r="B83" s="1" t="s">
        <v>61</v>
      </c>
      <c r="C83" s="47">
        <v>0.545454545454545</v>
      </c>
      <c r="D83" s="1">
        <v>0.6</v>
      </c>
      <c r="E83" s="1">
        <v>0.775</v>
      </c>
      <c r="F83" s="1">
        <v>0.479674796747967</v>
      </c>
      <c r="G83" s="1">
        <v>0.777777777777777</v>
      </c>
      <c r="H83" s="1">
        <v>0.5</v>
      </c>
      <c r="I83" s="1">
        <v>0.257142857142857</v>
      </c>
      <c r="J83" s="1">
        <v>0.612244897959183</v>
      </c>
      <c r="K83" s="1">
        <v>0.451612903225806</v>
      </c>
      <c r="L83" s="1">
        <v>0.373493975903614</v>
      </c>
      <c r="M83" s="1">
        <v>0.555555555555555</v>
      </c>
      <c r="N83">
        <v>0.521739130434782</v>
      </c>
      <c r="O83" s="1" t="s">
        <v>61</v>
      </c>
      <c r="P83" s="47">
        <v>0.709090909090909</v>
      </c>
      <c r="Q83" s="1">
        <v>0.9</v>
      </c>
      <c r="R83" s="1">
        <v>0.7</v>
      </c>
      <c r="S83" s="1">
        <v>0.796747967479674</v>
      </c>
      <c r="T83" s="1">
        <v>0.833333333333333</v>
      </c>
      <c r="U83" s="1">
        <v>0.611111111111111</v>
      </c>
      <c r="V83" s="1">
        <v>0.742857142857142</v>
      </c>
      <c r="W83" s="1">
        <v>0.775510204081632</v>
      </c>
      <c r="X83" s="1">
        <v>0.612903225806451</v>
      </c>
      <c r="Y83" s="1">
        <v>0.674698795180722</v>
      </c>
      <c r="Z83" s="1">
        <v>0.666666666666666</v>
      </c>
      <c r="AA83">
        <v>0.304347826086956</v>
      </c>
    </row>
    <row r="84" customFormat="1" spans="2:28">
      <c r="B84" s="1" t="s">
        <v>62</v>
      </c>
      <c r="C84" s="47">
        <v>0.9375</v>
      </c>
      <c r="D84" s="1">
        <v>0.428571428571428</v>
      </c>
      <c r="E84" s="1">
        <v>0.67391304347826</v>
      </c>
      <c r="F84" s="1">
        <v>0.983333333333333</v>
      </c>
      <c r="G84" s="1">
        <v>1</v>
      </c>
      <c r="H84" s="1">
        <v>0.642857142857142</v>
      </c>
      <c r="I84" s="1">
        <v>0.818181818181818</v>
      </c>
      <c r="J84" s="1">
        <v>0.9375</v>
      </c>
      <c r="K84" s="1">
        <v>0.933333333333333</v>
      </c>
      <c r="L84" s="1">
        <v>0.885714285714285</v>
      </c>
      <c r="M84" s="1">
        <v>0.714285714285714</v>
      </c>
      <c r="N84">
        <v>0.631578947368421</v>
      </c>
      <c r="O84" s="1" t="s">
        <v>62</v>
      </c>
      <c r="P84" s="47">
        <v>0.78</v>
      </c>
      <c r="Q84" s="1">
        <v>0.529411764705882</v>
      </c>
      <c r="R84" s="1">
        <v>0.823529411764705</v>
      </c>
      <c r="S84" s="1">
        <v>0.89090909090909</v>
      </c>
      <c r="T84" s="1">
        <v>0.833333333333333</v>
      </c>
      <c r="U84" s="1">
        <v>0.916666666666666</v>
      </c>
      <c r="V84" s="1">
        <v>0.742857142857142</v>
      </c>
      <c r="W84" s="1">
        <v>1</v>
      </c>
      <c r="X84" s="1">
        <v>0.59375</v>
      </c>
      <c r="Y84" s="1">
        <v>0.823529411764705</v>
      </c>
      <c r="Z84" s="1">
        <v>0.75</v>
      </c>
      <c r="AA84">
        <v>0.4375</v>
      </c>
      <c r="AB84" s="51"/>
    </row>
    <row r="85" spans="3:3">
      <c r="C85" s="1" t="s">
        <v>75</v>
      </c>
    </row>
    <row r="86" spans="2:14">
      <c r="B86" s="1" t="s">
        <v>59</v>
      </c>
      <c r="C86" s="1">
        <v>0.925</v>
      </c>
      <c r="D86" s="1">
        <v>0.95</v>
      </c>
      <c r="E86" s="1">
        <v>0.87</v>
      </c>
      <c r="F86" s="1">
        <v>0.7</v>
      </c>
      <c r="G86" s="1">
        <v>0.985</v>
      </c>
      <c r="H86" s="1">
        <v>0.945</v>
      </c>
      <c r="I86" s="1">
        <v>0.805</v>
      </c>
      <c r="J86" s="1">
        <v>0.875</v>
      </c>
      <c r="K86" s="1">
        <v>0.85</v>
      </c>
      <c r="L86" s="1">
        <v>0.76</v>
      </c>
      <c r="M86" s="1">
        <v>0.95</v>
      </c>
      <c r="N86">
        <v>0.905</v>
      </c>
    </row>
    <row r="87" spans="2:18">
      <c r="B87" s="1" t="s">
        <v>60</v>
      </c>
      <c r="C87" s="1">
        <v>0.788732394366197</v>
      </c>
      <c r="D87" s="1">
        <v>0.615384615384615</v>
      </c>
      <c r="E87" s="1">
        <v>0.666666666666666</v>
      </c>
      <c r="F87" s="1">
        <v>0.662921348314606</v>
      </c>
      <c r="G87" s="1">
        <v>0.903225806451612</v>
      </c>
      <c r="H87" s="1">
        <v>0.64516129032258</v>
      </c>
      <c r="I87" s="1">
        <v>0.31578947368421</v>
      </c>
      <c r="J87" s="1">
        <v>0.712643678160919</v>
      </c>
      <c r="K87" s="1">
        <v>0.482758620689655</v>
      </c>
      <c r="L87" s="1">
        <v>0.555555555555555</v>
      </c>
      <c r="M87" s="1">
        <v>0.5</v>
      </c>
      <c r="N87">
        <v>0.577777777777777</v>
      </c>
      <c r="O87" s="1"/>
      <c r="P87" s="1"/>
      <c r="R87" s="8"/>
    </row>
    <row r="88" spans="2:18">
      <c r="B88" s="1" t="s">
        <v>61</v>
      </c>
      <c r="C88" s="1">
        <v>0.717948717948718</v>
      </c>
      <c r="D88" s="1">
        <v>0.666666666666666</v>
      </c>
      <c r="E88" s="8">
        <v>0.8125</v>
      </c>
      <c r="F88" s="1">
        <v>0.5</v>
      </c>
      <c r="G88" s="1">
        <v>0.823529411764705</v>
      </c>
      <c r="H88" s="1">
        <v>0.588235294117647</v>
      </c>
      <c r="I88" s="1">
        <v>0.195652173913043</v>
      </c>
      <c r="J88" s="1">
        <v>0.563636363636363</v>
      </c>
      <c r="K88" s="1">
        <v>0.325581395348837</v>
      </c>
      <c r="L88" s="1">
        <v>0.410958904109589</v>
      </c>
      <c r="M88" s="1">
        <v>0.384615384615384</v>
      </c>
      <c r="N88">
        <v>0.5</v>
      </c>
      <c r="O88" s="1"/>
      <c r="P88" s="1"/>
      <c r="R88" s="8"/>
    </row>
    <row r="89" spans="2:18">
      <c r="B89" s="1" t="s">
        <v>62</v>
      </c>
      <c r="C89" s="1">
        <v>0.875</v>
      </c>
      <c r="D89" s="1">
        <v>0.571428571428571</v>
      </c>
      <c r="E89" s="8">
        <v>0.565217391304347</v>
      </c>
      <c r="F89" s="1">
        <v>0.983333333333333</v>
      </c>
      <c r="G89" s="1">
        <v>1</v>
      </c>
      <c r="H89" s="1">
        <v>0.714285714285714</v>
      </c>
      <c r="I89" s="1">
        <v>0.818181818181818</v>
      </c>
      <c r="J89" s="1">
        <v>0.96875</v>
      </c>
      <c r="K89" s="1">
        <v>0.933333333333333</v>
      </c>
      <c r="L89" s="1">
        <v>0.857142857142857</v>
      </c>
      <c r="M89" s="1">
        <v>0.714285714285714</v>
      </c>
      <c r="N89">
        <v>0.684210526315789</v>
      </c>
      <c r="O89" s="1"/>
      <c r="P89" s="1"/>
      <c r="R89" s="8"/>
    </row>
    <row r="90" spans="5:18">
      <c r="E90" s="8"/>
      <c r="F90" s="1"/>
      <c r="G90" s="1"/>
      <c r="H90" s="1"/>
      <c r="I90" s="1"/>
      <c r="J90" s="1"/>
      <c r="K90" s="1"/>
      <c r="L90" s="1"/>
      <c r="M90" s="1"/>
      <c r="N90"/>
      <c r="O90" s="1"/>
      <c r="P90" s="1"/>
      <c r="R90" s="8"/>
    </row>
  </sheetData>
  <mergeCells count="62">
    <mergeCell ref="B1:M1"/>
    <mergeCell ref="O1:Z1"/>
    <mergeCell ref="D2:G2"/>
    <mergeCell ref="Q2:T2"/>
    <mergeCell ref="D3:E3"/>
    <mergeCell ref="F3:G3"/>
    <mergeCell ref="Q3:R3"/>
    <mergeCell ref="S3:T3"/>
    <mergeCell ref="B20:M20"/>
    <mergeCell ref="O20:Z20"/>
    <mergeCell ref="D21:G21"/>
    <mergeCell ref="Q21:T21"/>
    <mergeCell ref="D22:E22"/>
    <mergeCell ref="F22:G22"/>
    <mergeCell ref="Q22:R22"/>
    <mergeCell ref="S22:T22"/>
    <mergeCell ref="C44:L44"/>
    <mergeCell ref="P44:Y44"/>
    <mergeCell ref="C49:N49"/>
    <mergeCell ref="C54:N54"/>
    <mergeCell ref="C59:N59"/>
    <mergeCell ref="C65:L65"/>
    <mergeCell ref="P65:Y65"/>
    <mergeCell ref="C70:L70"/>
    <mergeCell ref="P70:Y70"/>
    <mergeCell ref="C75:L75"/>
    <mergeCell ref="P75:Y75"/>
    <mergeCell ref="C80:L80"/>
    <mergeCell ref="P80:Y80"/>
    <mergeCell ref="C85:L85"/>
    <mergeCell ref="B2:B4"/>
    <mergeCell ref="B5:B9"/>
    <mergeCell ref="B10:B14"/>
    <mergeCell ref="B15:B19"/>
    <mergeCell ref="B21:B23"/>
    <mergeCell ref="B24:B28"/>
    <mergeCell ref="B29:B33"/>
    <mergeCell ref="B34:B38"/>
    <mergeCell ref="C2:C4"/>
    <mergeCell ref="C21:C23"/>
    <mergeCell ref="O2:O4"/>
    <mergeCell ref="O5:O9"/>
    <mergeCell ref="O10:O14"/>
    <mergeCell ref="O15:O19"/>
    <mergeCell ref="O21:O23"/>
    <mergeCell ref="O24:O28"/>
    <mergeCell ref="O29:O33"/>
    <mergeCell ref="O34:O38"/>
    <mergeCell ref="P2:P4"/>
    <mergeCell ref="P21:P23"/>
    <mergeCell ref="H2:I3"/>
    <mergeCell ref="J2:K3"/>
    <mergeCell ref="L2:M3"/>
    <mergeCell ref="H21:I22"/>
    <mergeCell ref="J21:K22"/>
    <mergeCell ref="L21:M22"/>
    <mergeCell ref="U2:V3"/>
    <mergeCell ref="W2:X3"/>
    <mergeCell ref="Y2:Z3"/>
    <mergeCell ref="U21:V22"/>
    <mergeCell ref="W21:X22"/>
    <mergeCell ref="Y21:Z22"/>
  </mergeCells>
  <pageMargins left="0.75" right="0.75" top="1" bottom="1" header="0.5" footer="0.5"/>
  <headerFooter/>
  <ignoredErrors>
    <ignoredError sqref="Y38:Z3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5.2.2标注性能</vt:lpstr>
      <vt:lpstr>5.3 价值观评估器性能分析</vt:lpstr>
      <vt:lpstr>5.4 价值观对齐程度可视化</vt:lpstr>
      <vt:lpstr>5.5 消融实验</vt:lpstr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qzh</dc:creator>
  <cp:lastModifiedBy>句号</cp:lastModifiedBy>
  <dcterms:created xsi:type="dcterms:W3CDTF">2025-03-21T05:43:00Z</dcterms:created>
  <dcterms:modified xsi:type="dcterms:W3CDTF">2025-04-19T17:32:53Z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7B7BBB3C7A5A4CE3AF1D945CCF351E71_11</vt:lpwstr>
  </property>
  <property fmtid="{D5CDD505-2E9C-101B-9397-08002B2CF9AE}" pid="3" name="KSOProductBuildVer">
    <vt:lpwstr>2052-12.1.0.20305</vt:lpwstr>
  </property>
</Properties>
</file>